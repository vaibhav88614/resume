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V:\temp\resume\"/>
    </mc:Choice>
  </mc:AlternateContent>
  <xr:revisionPtr revIDLastSave="0" documentId="13_ncr:1_{63F0AFF9-29A1-4430-9EBE-8ED3308759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34" i="1" l="1"/>
  <c r="AH134" i="1"/>
  <c r="AB134" i="1"/>
  <c r="V134" i="1"/>
  <c r="P134" i="1"/>
  <c r="J134" i="1"/>
  <c r="AJ133" i="1"/>
  <c r="AH133" i="1"/>
  <c r="AB133" i="1"/>
  <c r="V133" i="1"/>
  <c r="P133" i="1"/>
  <c r="J133" i="1"/>
  <c r="AJ132" i="1"/>
  <c r="AH132" i="1"/>
  <c r="AB132" i="1"/>
  <c r="V132" i="1"/>
  <c r="P132" i="1"/>
  <c r="J132" i="1"/>
  <c r="AJ131" i="1"/>
  <c r="AH131" i="1"/>
  <c r="AB131" i="1"/>
  <c r="V131" i="1"/>
  <c r="P131" i="1"/>
  <c r="J131" i="1"/>
  <c r="AJ130" i="1"/>
  <c r="AH130" i="1"/>
  <c r="AB130" i="1"/>
  <c r="V130" i="1"/>
  <c r="P130" i="1"/>
  <c r="J130" i="1"/>
  <c r="AJ129" i="1"/>
  <c r="AH129" i="1"/>
  <c r="AB129" i="1"/>
  <c r="V129" i="1"/>
  <c r="P129" i="1"/>
  <c r="J129" i="1"/>
  <c r="AJ128" i="1"/>
  <c r="AH128" i="1"/>
  <c r="AB128" i="1"/>
  <c r="V128" i="1"/>
  <c r="P128" i="1"/>
  <c r="J128" i="1"/>
  <c r="AJ127" i="1"/>
  <c r="AH127" i="1"/>
  <c r="AB127" i="1"/>
  <c r="V127" i="1"/>
  <c r="P127" i="1"/>
  <c r="J127" i="1"/>
  <c r="AJ126" i="1"/>
  <c r="AH126" i="1"/>
  <c r="AB126" i="1"/>
  <c r="V126" i="1"/>
  <c r="P126" i="1"/>
  <c r="J126" i="1"/>
  <c r="AJ125" i="1"/>
  <c r="AH125" i="1"/>
  <c r="AB125" i="1"/>
  <c r="V125" i="1"/>
  <c r="P125" i="1"/>
  <c r="J125" i="1"/>
  <c r="AJ124" i="1"/>
  <c r="AH124" i="1"/>
  <c r="AB124" i="1"/>
  <c r="V124" i="1"/>
  <c r="P124" i="1"/>
  <c r="J124" i="1"/>
  <c r="AJ123" i="1"/>
  <c r="AH123" i="1"/>
  <c r="AB123" i="1"/>
  <c r="V123" i="1"/>
  <c r="P123" i="1"/>
  <c r="J123" i="1"/>
  <c r="AJ122" i="1"/>
  <c r="AH122" i="1"/>
  <c r="AB122" i="1"/>
  <c r="V122" i="1"/>
  <c r="P122" i="1"/>
  <c r="J122" i="1"/>
  <c r="AJ121" i="1"/>
  <c r="AH121" i="1"/>
  <c r="AB121" i="1"/>
  <c r="V121" i="1"/>
  <c r="P121" i="1"/>
  <c r="J121" i="1"/>
  <c r="AJ120" i="1"/>
  <c r="AH120" i="1"/>
  <c r="AB120" i="1"/>
  <c r="V120" i="1"/>
  <c r="P120" i="1"/>
  <c r="J120" i="1"/>
  <c r="AJ119" i="1"/>
  <c r="AH119" i="1"/>
  <c r="AB119" i="1"/>
  <c r="V119" i="1"/>
  <c r="P119" i="1"/>
  <c r="J119" i="1"/>
  <c r="AJ118" i="1"/>
  <c r="AH118" i="1"/>
  <c r="AB118" i="1"/>
  <c r="V118" i="1"/>
  <c r="P118" i="1"/>
  <c r="J118" i="1"/>
  <c r="AJ117" i="1"/>
  <c r="AH117" i="1"/>
  <c r="AB117" i="1"/>
  <c r="V117" i="1"/>
  <c r="P117" i="1"/>
  <c r="J117" i="1"/>
  <c r="AJ116" i="1"/>
  <c r="AH116" i="1"/>
  <c r="AB116" i="1"/>
  <c r="V116" i="1"/>
  <c r="P116" i="1"/>
  <c r="J116" i="1"/>
  <c r="AJ115" i="1"/>
  <c r="AH115" i="1"/>
  <c r="AB115" i="1"/>
  <c r="V115" i="1"/>
  <c r="P115" i="1"/>
  <c r="J115" i="1"/>
  <c r="AJ114" i="1"/>
  <c r="AH114" i="1"/>
  <c r="AB114" i="1"/>
  <c r="V114" i="1"/>
  <c r="P114" i="1"/>
  <c r="J114" i="1"/>
  <c r="AJ113" i="1"/>
  <c r="AH113" i="1"/>
  <c r="AB113" i="1"/>
  <c r="V113" i="1"/>
  <c r="P113" i="1"/>
  <c r="J113" i="1"/>
  <c r="AJ112" i="1"/>
  <c r="AH112" i="1"/>
  <c r="AB112" i="1"/>
  <c r="V112" i="1"/>
  <c r="P112" i="1"/>
  <c r="J112" i="1"/>
  <c r="AJ111" i="1"/>
  <c r="AH111" i="1"/>
  <c r="AB111" i="1"/>
  <c r="V111" i="1"/>
  <c r="P111" i="1"/>
  <c r="J111" i="1"/>
  <c r="AJ110" i="1"/>
  <c r="AH110" i="1"/>
  <c r="AB110" i="1"/>
  <c r="V110" i="1"/>
  <c r="P110" i="1"/>
  <c r="J110" i="1"/>
  <c r="AJ109" i="1"/>
  <c r="AH109" i="1"/>
  <c r="AB109" i="1"/>
  <c r="V109" i="1"/>
  <c r="P109" i="1"/>
  <c r="J109" i="1"/>
  <c r="AJ108" i="1"/>
  <c r="AH108" i="1"/>
  <c r="AB108" i="1"/>
  <c r="V108" i="1"/>
  <c r="P108" i="1"/>
  <c r="J108" i="1"/>
  <c r="AJ107" i="1"/>
  <c r="AH107" i="1"/>
  <c r="AB107" i="1"/>
  <c r="V107" i="1"/>
  <c r="P107" i="1"/>
  <c r="J107" i="1"/>
  <c r="AJ106" i="1"/>
  <c r="AH106" i="1"/>
  <c r="AB106" i="1"/>
  <c r="V106" i="1"/>
  <c r="P106" i="1"/>
  <c r="J106" i="1"/>
  <c r="AJ105" i="1"/>
  <c r="AH105" i="1"/>
  <c r="AB105" i="1"/>
  <c r="V105" i="1"/>
  <c r="P105" i="1"/>
  <c r="J105" i="1"/>
  <c r="AJ104" i="1"/>
  <c r="AH104" i="1"/>
  <c r="AB104" i="1"/>
  <c r="V104" i="1"/>
  <c r="P104" i="1"/>
  <c r="J104" i="1"/>
  <c r="AJ103" i="1"/>
  <c r="AH103" i="1"/>
  <c r="AB103" i="1"/>
  <c r="V103" i="1"/>
  <c r="P103" i="1"/>
  <c r="J103" i="1"/>
  <c r="AJ102" i="1"/>
  <c r="AH102" i="1"/>
  <c r="AB102" i="1"/>
  <c r="V102" i="1"/>
  <c r="P102" i="1"/>
  <c r="J102" i="1"/>
  <c r="AJ101" i="1"/>
  <c r="AH101" i="1"/>
  <c r="AB101" i="1"/>
  <c r="V101" i="1"/>
  <c r="P101" i="1"/>
  <c r="J101" i="1"/>
  <c r="AJ100" i="1"/>
  <c r="AH100" i="1"/>
  <c r="AB100" i="1"/>
  <c r="V100" i="1"/>
  <c r="P100" i="1"/>
  <c r="J100" i="1"/>
  <c r="AJ99" i="1"/>
  <c r="AH99" i="1"/>
  <c r="AB99" i="1"/>
  <c r="V99" i="1"/>
  <c r="P99" i="1"/>
  <c r="J99" i="1"/>
  <c r="AJ98" i="1"/>
  <c r="AH98" i="1"/>
  <c r="AB98" i="1"/>
  <c r="V98" i="1"/>
  <c r="P98" i="1"/>
  <c r="J98" i="1"/>
  <c r="AJ97" i="1"/>
  <c r="AH97" i="1"/>
  <c r="AB97" i="1"/>
  <c r="V97" i="1"/>
  <c r="P97" i="1"/>
  <c r="J97" i="1"/>
  <c r="AJ96" i="1"/>
  <c r="AH96" i="1"/>
  <c r="AB96" i="1"/>
  <c r="V96" i="1"/>
  <c r="P96" i="1"/>
  <c r="J96" i="1"/>
  <c r="AJ95" i="1"/>
  <c r="AH95" i="1"/>
  <c r="AB95" i="1"/>
  <c r="V95" i="1"/>
  <c r="P95" i="1"/>
  <c r="J95" i="1"/>
  <c r="AJ94" i="1"/>
  <c r="AH94" i="1"/>
  <c r="AB94" i="1"/>
  <c r="V94" i="1"/>
  <c r="P94" i="1"/>
  <c r="J94" i="1"/>
  <c r="AJ93" i="1"/>
  <c r="AH93" i="1"/>
  <c r="AB93" i="1"/>
  <c r="V93" i="1"/>
  <c r="P93" i="1"/>
  <c r="J93" i="1"/>
  <c r="AJ92" i="1"/>
  <c r="AH92" i="1"/>
  <c r="AB92" i="1"/>
  <c r="V92" i="1"/>
  <c r="P92" i="1"/>
  <c r="J92" i="1"/>
  <c r="AJ91" i="1"/>
  <c r="AH91" i="1"/>
  <c r="AB91" i="1"/>
  <c r="V91" i="1"/>
  <c r="P91" i="1"/>
  <c r="J91" i="1"/>
  <c r="AJ90" i="1"/>
  <c r="AH90" i="1"/>
  <c r="AB90" i="1"/>
  <c r="V90" i="1"/>
  <c r="P90" i="1"/>
  <c r="J90" i="1"/>
  <c r="AJ89" i="1"/>
  <c r="AH89" i="1"/>
  <c r="AB89" i="1"/>
  <c r="V89" i="1"/>
  <c r="P89" i="1"/>
  <c r="J89" i="1"/>
  <c r="AJ88" i="1"/>
  <c r="AH88" i="1"/>
  <c r="AB88" i="1"/>
  <c r="V88" i="1"/>
  <c r="P88" i="1"/>
  <c r="J88" i="1"/>
  <c r="AJ87" i="1"/>
  <c r="AH87" i="1"/>
  <c r="AB87" i="1"/>
  <c r="V87" i="1"/>
  <c r="P87" i="1"/>
  <c r="J87" i="1"/>
  <c r="AJ86" i="1"/>
  <c r="AH86" i="1"/>
  <c r="AB86" i="1"/>
  <c r="V86" i="1"/>
  <c r="P86" i="1"/>
  <c r="J86" i="1"/>
  <c r="AJ85" i="1"/>
  <c r="AH85" i="1"/>
  <c r="AB85" i="1"/>
  <c r="V85" i="1"/>
  <c r="P85" i="1"/>
  <c r="J85" i="1"/>
  <c r="AJ84" i="1"/>
  <c r="AH84" i="1"/>
  <c r="AB84" i="1"/>
  <c r="V84" i="1"/>
  <c r="P84" i="1"/>
  <c r="J84" i="1"/>
  <c r="AJ83" i="1"/>
  <c r="AH83" i="1"/>
  <c r="AB83" i="1"/>
  <c r="V83" i="1"/>
  <c r="P83" i="1"/>
  <c r="J83" i="1"/>
  <c r="AJ82" i="1"/>
  <c r="AH82" i="1"/>
  <c r="AB82" i="1"/>
  <c r="V82" i="1"/>
  <c r="P82" i="1"/>
  <c r="J82" i="1"/>
  <c r="AJ81" i="1"/>
  <c r="AH81" i="1"/>
  <c r="AB81" i="1"/>
  <c r="V81" i="1"/>
  <c r="P81" i="1"/>
  <c r="J81" i="1"/>
  <c r="AJ80" i="1"/>
  <c r="AH80" i="1"/>
  <c r="AB80" i="1"/>
  <c r="V80" i="1"/>
  <c r="P80" i="1"/>
  <c r="J80" i="1"/>
  <c r="AJ79" i="1"/>
  <c r="AH79" i="1"/>
  <c r="AB79" i="1"/>
  <c r="V79" i="1"/>
  <c r="P79" i="1"/>
  <c r="J79" i="1"/>
  <c r="AJ78" i="1"/>
  <c r="AH78" i="1"/>
  <c r="AB78" i="1"/>
  <c r="V78" i="1"/>
  <c r="P78" i="1"/>
  <c r="J78" i="1"/>
  <c r="AJ77" i="1"/>
  <c r="AH77" i="1"/>
  <c r="AB77" i="1"/>
  <c r="V77" i="1"/>
  <c r="P77" i="1"/>
  <c r="J77" i="1"/>
  <c r="AJ76" i="1"/>
  <c r="AH76" i="1"/>
  <c r="AB76" i="1"/>
  <c r="V76" i="1"/>
  <c r="P76" i="1"/>
  <c r="J76" i="1"/>
  <c r="AJ75" i="1"/>
  <c r="AH75" i="1"/>
  <c r="AB75" i="1"/>
  <c r="V75" i="1"/>
  <c r="P75" i="1"/>
  <c r="J75" i="1"/>
  <c r="AJ74" i="1"/>
  <c r="AH74" i="1"/>
  <c r="AB74" i="1"/>
  <c r="V74" i="1"/>
  <c r="P74" i="1"/>
  <c r="J74" i="1"/>
  <c r="AJ73" i="1"/>
  <c r="AH73" i="1"/>
  <c r="AB73" i="1"/>
  <c r="V73" i="1"/>
  <c r="P73" i="1"/>
  <c r="J73" i="1"/>
  <c r="AJ72" i="1"/>
  <c r="AH72" i="1"/>
  <c r="AB72" i="1"/>
  <c r="V72" i="1"/>
  <c r="P72" i="1"/>
  <c r="J72" i="1"/>
  <c r="AJ71" i="1"/>
  <c r="AH71" i="1"/>
  <c r="AB71" i="1"/>
  <c r="V71" i="1"/>
  <c r="P71" i="1"/>
  <c r="J71" i="1"/>
  <c r="AJ70" i="1"/>
  <c r="AH70" i="1"/>
  <c r="AB70" i="1"/>
  <c r="V70" i="1"/>
  <c r="P70" i="1"/>
  <c r="J70" i="1"/>
  <c r="AJ69" i="1"/>
  <c r="AH69" i="1"/>
  <c r="AB69" i="1"/>
  <c r="V69" i="1"/>
  <c r="P69" i="1"/>
  <c r="J69" i="1"/>
  <c r="AJ68" i="1"/>
  <c r="AH68" i="1"/>
  <c r="AB68" i="1"/>
  <c r="V68" i="1"/>
  <c r="P68" i="1"/>
  <c r="J68" i="1"/>
  <c r="AJ67" i="1"/>
  <c r="AH67" i="1"/>
  <c r="AB67" i="1"/>
  <c r="V67" i="1"/>
  <c r="P67" i="1"/>
  <c r="J67" i="1"/>
  <c r="AJ66" i="1"/>
  <c r="AH66" i="1"/>
  <c r="AB66" i="1"/>
  <c r="V66" i="1"/>
  <c r="P66" i="1"/>
  <c r="J66" i="1"/>
  <c r="AJ65" i="1"/>
  <c r="AH65" i="1"/>
  <c r="AB65" i="1"/>
  <c r="V65" i="1"/>
  <c r="P65" i="1"/>
  <c r="J65" i="1"/>
  <c r="AJ64" i="1"/>
  <c r="AH64" i="1"/>
  <c r="AB64" i="1"/>
  <c r="V64" i="1"/>
  <c r="P64" i="1"/>
  <c r="J64" i="1"/>
  <c r="AJ63" i="1"/>
  <c r="AH63" i="1"/>
  <c r="AB63" i="1"/>
  <c r="V63" i="1"/>
  <c r="P63" i="1"/>
  <c r="J63" i="1"/>
  <c r="AJ62" i="1"/>
  <c r="AH62" i="1"/>
  <c r="AB62" i="1"/>
  <c r="V62" i="1"/>
  <c r="P62" i="1"/>
  <c r="J62" i="1"/>
  <c r="AJ61" i="1"/>
  <c r="AH61" i="1"/>
  <c r="AB61" i="1"/>
  <c r="V61" i="1"/>
  <c r="P61" i="1"/>
  <c r="J61" i="1"/>
  <c r="AJ60" i="1"/>
  <c r="AH60" i="1"/>
  <c r="AB60" i="1"/>
  <c r="V60" i="1"/>
  <c r="P60" i="1"/>
  <c r="J60" i="1"/>
  <c r="AJ59" i="1"/>
  <c r="AH59" i="1"/>
  <c r="AB59" i="1"/>
  <c r="V59" i="1"/>
  <c r="P59" i="1"/>
  <c r="J59" i="1"/>
  <c r="AJ58" i="1"/>
  <c r="AH58" i="1"/>
  <c r="AB58" i="1"/>
  <c r="V58" i="1"/>
  <c r="P58" i="1"/>
  <c r="J58" i="1"/>
  <c r="AJ57" i="1"/>
  <c r="AH57" i="1"/>
  <c r="AB57" i="1"/>
  <c r="V57" i="1"/>
  <c r="P57" i="1"/>
  <c r="J57" i="1"/>
  <c r="AJ56" i="1"/>
  <c r="AH56" i="1"/>
  <c r="AB56" i="1"/>
  <c r="V56" i="1"/>
  <c r="P56" i="1"/>
  <c r="J56" i="1"/>
  <c r="AJ55" i="1"/>
  <c r="AH55" i="1"/>
  <c r="AB55" i="1"/>
  <c r="V55" i="1"/>
  <c r="P55" i="1"/>
  <c r="J55" i="1"/>
  <c r="AJ54" i="1"/>
  <c r="AH54" i="1"/>
  <c r="AB54" i="1"/>
  <c r="V54" i="1"/>
  <c r="P54" i="1"/>
  <c r="J54" i="1"/>
  <c r="AJ53" i="1"/>
  <c r="AH53" i="1"/>
  <c r="AB53" i="1"/>
  <c r="V53" i="1"/>
  <c r="P53" i="1"/>
  <c r="J53" i="1"/>
  <c r="AJ52" i="1"/>
  <c r="AH52" i="1"/>
  <c r="AB52" i="1"/>
  <c r="V52" i="1"/>
  <c r="P52" i="1"/>
  <c r="J52" i="1"/>
  <c r="AJ51" i="1"/>
  <c r="AH51" i="1"/>
  <c r="AB51" i="1"/>
  <c r="V51" i="1"/>
  <c r="P51" i="1"/>
  <c r="J51" i="1"/>
  <c r="AJ50" i="1"/>
  <c r="AH50" i="1"/>
  <c r="AB50" i="1"/>
  <c r="V50" i="1"/>
  <c r="P50" i="1"/>
  <c r="J50" i="1"/>
  <c r="AJ49" i="1"/>
  <c r="AH49" i="1"/>
  <c r="AB49" i="1"/>
  <c r="V49" i="1"/>
  <c r="P49" i="1"/>
  <c r="J49" i="1"/>
  <c r="AJ48" i="1"/>
  <c r="AH48" i="1"/>
  <c r="AB48" i="1"/>
  <c r="V48" i="1"/>
  <c r="P48" i="1"/>
  <c r="J48" i="1"/>
  <c r="AJ47" i="1"/>
  <c r="AH47" i="1"/>
  <c r="AB47" i="1"/>
  <c r="V47" i="1"/>
  <c r="P47" i="1"/>
  <c r="J47" i="1"/>
  <c r="AJ46" i="1"/>
  <c r="AH46" i="1"/>
  <c r="AB46" i="1"/>
  <c r="V46" i="1"/>
  <c r="P46" i="1"/>
  <c r="J46" i="1"/>
  <c r="AJ45" i="1"/>
  <c r="AH45" i="1"/>
  <c r="AB45" i="1"/>
  <c r="V45" i="1"/>
  <c r="P45" i="1"/>
  <c r="J45" i="1"/>
  <c r="AJ44" i="1"/>
  <c r="AH44" i="1"/>
  <c r="AB44" i="1"/>
  <c r="V44" i="1"/>
  <c r="P44" i="1"/>
  <c r="J44" i="1"/>
  <c r="AJ43" i="1"/>
  <c r="AH43" i="1"/>
  <c r="AB43" i="1"/>
  <c r="V43" i="1"/>
  <c r="P43" i="1"/>
  <c r="J43" i="1"/>
  <c r="AJ42" i="1"/>
  <c r="AH42" i="1"/>
  <c r="AB42" i="1"/>
  <c r="V42" i="1"/>
  <c r="P42" i="1"/>
  <c r="J42" i="1"/>
  <c r="AJ41" i="1"/>
  <c r="AH41" i="1"/>
  <c r="AB41" i="1"/>
  <c r="V41" i="1"/>
  <c r="P41" i="1"/>
  <c r="J41" i="1"/>
  <c r="AJ40" i="1"/>
  <c r="AH40" i="1"/>
  <c r="AB40" i="1"/>
  <c r="V40" i="1"/>
  <c r="P40" i="1"/>
  <c r="J40" i="1"/>
  <c r="AJ39" i="1"/>
  <c r="AH39" i="1"/>
  <c r="AB39" i="1"/>
  <c r="V39" i="1"/>
  <c r="P39" i="1"/>
  <c r="J39" i="1"/>
  <c r="AJ38" i="1"/>
  <c r="AH38" i="1"/>
  <c r="AB38" i="1"/>
  <c r="V38" i="1"/>
  <c r="P38" i="1"/>
  <c r="J38" i="1"/>
  <c r="AJ37" i="1"/>
  <c r="AH37" i="1"/>
  <c r="AB37" i="1"/>
  <c r="V37" i="1"/>
  <c r="P37" i="1"/>
  <c r="J37" i="1"/>
  <c r="AJ36" i="1"/>
  <c r="AH36" i="1"/>
  <c r="AB36" i="1"/>
  <c r="V36" i="1"/>
  <c r="P36" i="1"/>
  <c r="J36" i="1"/>
  <c r="AJ35" i="1"/>
  <c r="AH35" i="1"/>
  <c r="AB35" i="1"/>
  <c r="V35" i="1"/>
  <c r="P35" i="1"/>
  <c r="J35" i="1"/>
  <c r="AJ34" i="1"/>
  <c r="AH34" i="1"/>
  <c r="AB34" i="1"/>
  <c r="V34" i="1"/>
  <c r="P34" i="1"/>
  <c r="J34" i="1"/>
  <c r="AJ33" i="1"/>
  <c r="AH33" i="1"/>
  <c r="AB33" i="1"/>
  <c r="V33" i="1"/>
  <c r="P33" i="1"/>
  <c r="J33" i="1"/>
  <c r="AJ32" i="1"/>
  <c r="AH32" i="1"/>
  <c r="AB32" i="1"/>
  <c r="V32" i="1"/>
  <c r="P32" i="1"/>
  <c r="J32" i="1"/>
  <c r="AJ31" i="1"/>
  <c r="AH31" i="1"/>
  <c r="AB31" i="1"/>
  <c r="V31" i="1"/>
  <c r="P31" i="1"/>
  <c r="J31" i="1"/>
  <c r="AJ30" i="1"/>
  <c r="AH30" i="1"/>
  <c r="AB30" i="1"/>
  <c r="V30" i="1"/>
  <c r="P30" i="1"/>
  <c r="J30" i="1"/>
  <c r="AJ29" i="1"/>
  <c r="AH29" i="1"/>
  <c r="AB29" i="1"/>
  <c r="V29" i="1"/>
  <c r="P29" i="1"/>
  <c r="J29" i="1"/>
  <c r="AJ28" i="1"/>
  <c r="AH28" i="1"/>
  <c r="AB28" i="1"/>
  <c r="V28" i="1"/>
  <c r="P28" i="1"/>
  <c r="J28" i="1"/>
  <c r="AJ27" i="1"/>
  <c r="AH27" i="1"/>
  <c r="AB27" i="1"/>
  <c r="V27" i="1"/>
  <c r="P27" i="1"/>
  <c r="J27" i="1"/>
  <c r="AJ26" i="1"/>
  <c r="AH26" i="1"/>
  <c r="AB26" i="1"/>
  <c r="V26" i="1"/>
  <c r="P26" i="1"/>
  <c r="J26" i="1"/>
  <c r="AJ25" i="1"/>
  <c r="AH25" i="1"/>
  <c r="AB25" i="1"/>
  <c r="V25" i="1"/>
  <c r="P25" i="1"/>
  <c r="J25" i="1"/>
  <c r="AJ24" i="1"/>
  <c r="AH24" i="1"/>
  <c r="AB24" i="1"/>
  <c r="V24" i="1"/>
  <c r="P24" i="1"/>
  <c r="J24" i="1"/>
  <c r="AJ23" i="1"/>
  <c r="AH23" i="1"/>
  <c r="AB23" i="1"/>
  <c r="V23" i="1"/>
  <c r="P23" i="1"/>
  <c r="J23" i="1"/>
  <c r="AJ22" i="1"/>
  <c r="AH22" i="1"/>
  <c r="AB22" i="1"/>
  <c r="V22" i="1"/>
  <c r="P22" i="1"/>
  <c r="J22" i="1"/>
  <c r="AJ21" i="1"/>
  <c r="AH21" i="1"/>
  <c r="AB21" i="1"/>
  <c r="V21" i="1"/>
  <c r="P21" i="1"/>
  <c r="J21" i="1"/>
  <c r="AJ20" i="1"/>
  <c r="AH20" i="1"/>
  <c r="AB20" i="1"/>
  <c r="V20" i="1"/>
  <c r="P20" i="1"/>
  <c r="J20" i="1"/>
  <c r="AJ19" i="1"/>
  <c r="AH19" i="1"/>
  <c r="AB19" i="1"/>
  <c r="V19" i="1"/>
  <c r="P19" i="1"/>
  <c r="J19" i="1"/>
  <c r="AJ18" i="1"/>
  <c r="AH18" i="1"/>
  <c r="AB18" i="1"/>
  <c r="V18" i="1"/>
  <c r="P18" i="1"/>
  <c r="J18" i="1"/>
  <c r="AJ17" i="1"/>
  <c r="AH17" i="1"/>
  <c r="AB17" i="1"/>
  <c r="V17" i="1"/>
  <c r="P17" i="1"/>
  <c r="J17" i="1"/>
  <c r="AJ16" i="1"/>
  <c r="AH16" i="1"/>
  <c r="AB16" i="1"/>
  <c r="V16" i="1"/>
  <c r="P16" i="1"/>
  <c r="J16" i="1"/>
  <c r="AJ15" i="1"/>
  <c r="AH15" i="1"/>
  <c r="AB15" i="1"/>
  <c r="V15" i="1"/>
  <c r="P15" i="1"/>
  <c r="J15" i="1"/>
  <c r="AJ14" i="1"/>
  <c r="AH14" i="1"/>
  <c r="AB14" i="1"/>
  <c r="V14" i="1"/>
  <c r="P14" i="1"/>
  <c r="J14" i="1"/>
  <c r="AJ13" i="1"/>
  <c r="AH13" i="1"/>
  <c r="AB13" i="1"/>
  <c r="V13" i="1"/>
  <c r="P13" i="1"/>
  <c r="J13" i="1"/>
  <c r="AJ12" i="1"/>
  <c r="AH12" i="1"/>
  <c r="AB12" i="1"/>
  <c r="V12" i="1"/>
  <c r="P12" i="1"/>
  <c r="J12" i="1"/>
  <c r="AJ11" i="1"/>
  <c r="AH11" i="1"/>
  <c r="AB11" i="1"/>
  <c r="V11" i="1"/>
  <c r="P11" i="1"/>
  <c r="J11" i="1"/>
  <c r="AJ10" i="1"/>
  <c r="AH10" i="1"/>
  <c r="AB10" i="1"/>
  <c r="V10" i="1"/>
  <c r="P10" i="1"/>
  <c r="J10" i="1"/>
  <c r="AJ9" i="1"/>
  <c r="AH9" i="1"/>
  <c r="AB9" i="1"/>
  <c r="V9" i="1"/>
  <c r="P9" i="1"/>
  <c r="J9" i="1"/>
  <c r="AJ8" i="1"/>
  <c r="AH8" i="1"/>
  <c r="AB8" i="1"/>
  <c r="V8" i="1"/>
  <c r="P8" i="1"/>
  <c r="J8" i="1"/>
  <c r="AJ7" i="1"/>
  <c r="AH7" i="1"/>
  <c r="AB7" i="1"/>
  <c r="V7" i="1"/>
  <c r="P7" i="1"/>
  <c r="J7" i="1"/>
  <c r="AJ6" i="1"/>
  <c r="AH6" i="1"/>
  <c r="AB6" i="1"/>
  <c r="V6" i="1"/>
  <c r="P6" i="1"/>
  <c r="J6" i="1"/>
  <c r="AJ5" i="1"/>
  <c r="AH5" i="1"/>
  <c r="AB5" i="1"/>
  <c r="V5" i="1"/>
  <c r="P5" i="1"/>
  <c r="J5" i="1"/>
  <c r="AJ4" i="1"/>
  <c r="AH4" i="1"/>
  <c r="AB4" i="1"/>
  <c r="V4" i="1"/>
  <c r="P4" i="1"/>
  <c r="J4" i="1"/>
  <c r="AJ3" i="1"/>
  <c r="AH3" i="1"/>
  <c r="AB3" i="1"/>
  <c r="V3" i="1"/>
  <c r="P3" i="1"/>
  <c r="J3" i="1"/>
</calcChain>
</file>

<file path=xl/sharedStrings.xml><?xml version="1.0" encoding="utf-8"?>
<sst xmlns="http://schemas.openxmlformats.org/spreadsheetml/2006/main" count="163" uniqueCount="125">
  <si>
    <t>Sl.No.</t>
  </si>
  <si>
    <t>Genotype</t>
  </si>
  <si>
    <t>Days to fifty % flowering</t>
  </si>
  <si>
    <t>days to maturity</t>
  </si>
  <si>
    <t>Plant height</t>
  </si>
  <si>
    <t>number of branches per plant</t>
  </si>
  <si>
    <t>PODS PER PLANT</t>
  </si>
  <si>
    <t>SEEDS PER POD</t>
  </si>
  <si>
    <t>POD LENGTH</t>
  </si>
  <si>
    <t>seed weight per row (g)</t>
  </si>
  <si>
    <t>GRAIN YEILD PER HECTARE</t>
  </si>
  <si>
    <t>AVG</t>
  </si>
  <si>
    <t>(KG)</t>
  </si>
  <si>
    <t>4C-157</t>
  </si>
  <si>
    <t>6C-30311</t>
  </si>
  <si>
    <t>7C-325</t>
  </si>
  <si>
    <t>8C-325</t>
  </si>
  <si>
    <t>9C-720</t>
  </si>
  <si>
    <t>10CB</t>
  </si>
  <si>
    <t>11CB-10203</t>
  </si>
  <si>
    <t>12CP-98</t>
  </si>
  <si>
    <t>13CPB-15</t>
  </si>
  <si>
    <t>14GC-3</t>
  </si>
  <si>
    <t>16Genotype36</t>
  </si>
  <si>
    <t>17Genotype37</t>
  </si>
  <si>
    <t>20V-16</t>
  </si>
  <si>
    <t>22V-578</t>
  </si>
  <si>
    <t>25V-555</t>
  </si>
  <si>
    <t>28EC-075180</t>
  </si>
  <si>
    <t>29EC-102065</t>
  </si>
  <si>
    <t>C1 C-152</t>
  </si>
  <si>
    <t>C2 KBC-2</t>
  </si>
  <si>
    <t>C2 KBC-9</t>
  </si>
  <si>
    <t>C4IT-38956-1</t>
  </si>
  <si>
    <t>C5 LOCAL VARIETY</t>
  </si>
  <si>
    <t>30EC-178604</t>
  </si>
  <si>
    <t>32EC-170584</t>
  </si>
  <si>
    <t>34EC-170584</t>
  </si>
  <si>
    <t>35EC-170584</t>
  </si>
  <si>
    <t>38EC-20254</t>
  </si>
  <si>
    <t>39EC-271040</t>
  </si>
  <si>
    <t>41EC-394708</t>
  </si>
  <si>
    <t>44EC-394708</t>
  </si>
  <si>
    <t>45EC-394835</t>
  </si>
  <si>
    <t>46EC-3949839</t>
  </si>
  <si>
    <t>47EC-472250</t>
  </si>
  <si>
    <t>48EC-472250</t>
  </si>
  <si>
    <t>49EC-472262</t>
  </si>
  <si>
    <t>51EC-472262</t>
  </si>
  <si>
    <t>52EC-472292</t>
  </si>
  <si>
    <t>53EC-402104</t>
  </si>
  <si>
    <t>54EC-402159</t>
  </si>
  <si>
    <t>55EC-458402</t>
  </si>
  <si>
    <t>57EC-458402</t>
  </si>
  <si>
    <t>59EC-458407</t>
  </si>
  <si>
    <t>60EC-458418</t>
  </si>
  <si>
    <t>61EC-458418</t>
  </si>
  <si>
    <t>62EC-458418</t>
  </si>
  <si>
    <t>63EC-458418</t>
  </si>
  <si>
    <t>64EC-458425</t>
  </si>
  <si>
    <t>66EC-458438</t>
  </si>
  <si>
    <t>67EC-458442</t>
  </si>
  <si>
    <t>69EC-456473</t>
  </si>
  <si>
    <t>70EC-458473</t>
  </si>
  <si>
    <t>71EC-458440</t>
  </si>
  <si>
    <t>74EC-458480</t>
  </si>
  <si>
    <t>76EC-458480</t>
  </si>
  <si>
    <t>77EC-458483</t>
  </si>
  <si>
    <t>78EC-458483</t>
  </si>
  <si>
    <t>79EC-458485</t>
  </si>
  <si>
    <t>80EC-458469</t>
  </si>
  <si>
    <t>83IC-1061</t>
  </si>
  <si>
    <t>84IC-1071</t>
  </si>
  <si>
    <t>88IC-201</t>
  </si>
  <si>
    <t>89IC-20105</t>
  </si>
  <si>
    <t>96IC-20105</t>
  </si>
  <si>
    <t>96IC-202792</t>
  </si>
  <si>
    <t>99IC-202781</t>
  </si>
  <si>
    <t>100IC-202781</t>
  </si>
  <si>
    <t>101IC-202781</t>
  </si>
  <si>
    <t>102IC-202854</t>
  </si>
  <si>
    <t>105IC-219484</t>
  </si>
  <si>
    <t>109IC-24459</t>
  </si>
  <si>
    <t>110IC-249141</t>
  </si>
  <si>
    <t>112IC-24959</t>
  </si>
  <si>
    <t>115IC-2574422</t>
  </si>
  <si>
    <t>117IC-2591054</t>
  </si>
  <si>
    <t>119IC-330996</t>
  </si>
  <si>
    <t>126IC-402101</t>
  </si>
  <si>
    <t>130IC-402035</t>
  </si>
  <si>
    <t>136IC-402162</t>
  </si>
  <si>
    <t>137IC-402162</t>
  </si>
  <si>
    <t>142IC-402166</t>
  </si>
  <si>
    <t>146IC-402172</t>
  </si>
  <si>
    <t>148IC-402175</t>
  </si>
  <si>
    <t>150IC-402180</t>
  </si>
  <si>
    <t>154IC-422174</t>
  </si>
  <si>
    <t>155IC-4506</t>
  </si>
  <si>
    <t>158IC-458492</t>
  </si>
  <si>
    <t>159IC-46099</t>
  </si>
  <si>
    <t>168NBC-07</t>
  </si>
  <si>
    <t>172NBC-16</t>
  </si>
  <si>
    <t>180NBC-25</t>
  </si>
  <si>
    <t>181NBC-27</t>
  </si>
  <si>
    <t>183NBC-30</t>
  </si>
  <si>
    <t>185NBC-33</t>
  </si>
  <si>
    <t>188NBC-38</t>
  </si>
  <si>
    <t>189NBC-39</t>
  </si>
  <si>
    <t>191NBC-40</t>
  </si>
  <si>
    <t>194NBC-42</t>
  </si>
  <si>
    <t>198NBC-51</t>
  </si>
  <si>
    <t>205NBC51</t>
  </si>
  <si>
    <t>205IT-389561</t>
  </si>
  <si>
    <t>223IT-389561</t>
  </si>
  <si>
    <t>181RM-5</t>
  </si>
  <si>
    <t xml:space="preserve">                                                                                                     Seed size(inches)</t>
  </si>
  <si>
    <t>Seed colour</t>
  </si>
  <si>
    <t xml:space="preserve">Germination </t>
  </si>
  <si>
    <t>%</t>
  </si>
  <si>
    <t>Seedling vigour</t>
  </si>
  <si>
    <t xml:space="preserve">Seed test weight </t>
  </si>
  <si>
    <t>length</t>
  </si>
  <si>
    <t>breadth</t>
  </si>
  <si>
    <t>no of normal seedling /50</t>
  </si>
  <si>
    <t>%*mean seedling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</si>
</sst>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0"/>
      <color rgb="FF000000"/>
      <name val="Arial"/>
      <scheme val="minor"/>
    </font>
    <font>
      <u/>
      <sz val="11"/>
      <color rgb="FF000000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0"/>
      <color theme="1"/>
      <name val="Arial"/>
      <scheme val="minor"/>
    </font>
    <font>
      <sz val="11"/>
      <color rgb="FF000000"/>
      <name val="Arial"/>
      <family val="2"/>
      <scheme val="major"/>
    </font>
    <font>
      <b/>
      <sz val="11"/>
      <color rgb="FF000000"/>
      <name val="Arial"/>
      <family val="2"/>
      <scheme val="major"/>
    </font>
    <font>
      <b/>
      <sz val="12"/>
      <color rgb="FF0A0A0A"/>
      <name val="Arial"/>
      <family val="2"/>
      <scheme val="major"/>
    </font>
    <font>
      <sz val="12"/>
      <color rgb="FF0A0A0A"/>
      <name val="Arial"/>
      <family val="2"/>
      <scheme val="major"/>
    </font>
    <font>
      <sz val="10"/>
      <color rgb="FF000000"/>
      <name val="Arial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sl.n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L169"/>
  <sheetViews>
    <sheetView tabSelected="1" zoomScale="80" zoomScaleNormal="130" workbookViewId="0">
      <pane ySplit="1" topLeftCell="A2" activePane="bottomLeft" state="frozen"/>
      <selection pane="bottomLeft" activeCell="B135" sqref="B135"/>
    </sheetView>
  </sheetViews>
  <sheetFormatPr defaultColWidth="12.6640625" defaultRowHeight="15.75" customHeight="1" x14ac:dyDescent="0.25"/>
  <cols>
    <col min="2" max="2" width="16.77734375" style="12" bestFit="1" customWidth="1"/>
    <col min="3" max="3" width="22.33203125" style="12" bestFit="1" customWidth="1"/>
    <col min="4" max="4" width="19.109375" style="18" customWidth="1"/>
    <col min="35" max="35" width="27" style="12" customWidth="1"/>
    <col min="36" max="36" width="18.88671875" style="12" customWidth="1"/>
    <col min="37" max="37" width="13.44140625" style="12" customWidth="1"/>
  </cols>
  <sheetData>
    <row r="1" spans="1:38" ht="15.75" customHeight="1" x14ac:dyDescent="0.3">
      <c r="A1" s="1" t="s">
        <v>0</v>
      </c>
      <c r="B1" s="2" t="s">
        <v>1</v>
      </c>
      <c r="C1" s="2" t="s">
        <v>2</v>
      </c>
      <c r="D1" s="14" t="s">
        <v>3</v>
      </c>
      <c r="E1" s="19" t="s">
        <v>4</v>
      </c>
      <c r="F1" s="20"/>
      <c r="G1" s="20"/>
      <c r="H1" s="20"/>
      <c r="I1" s="20"/>
      <c r="J1" s="11"/>
      <c r="K1" s="19" t="s">
        <v>5</v>
      </c>
      <c r="L1" s="20"/>
      <c r="M1" s="20"/>
      <c r="N1" s="20"/>
      <c r="O1" s="20"/>
      <c r="P1" s="20"/>
      <c r="Q1" s="19" t="s">
        <v>6</v>
      </c>
      <c r="R1" s="20"/>
      <c r="S1" s="20"/>
      <c r="T1" s="20"/>
      <c r="U1" s="20"/>
      <c r="V1" s="11"/>
      <c r="W1" s="19" t="s">
        <v>7</v>
      </c>
      <c r="X1" s="20"/>
      <c r="Y1" s="20"/>
      <c r="Z1" s="20"/>
      <c r="AA1" s="20"/>
      <c r="AB1" s="11"/>
      <c r="AC1" s="19" t="s">
        <v>8</v>
      </c>
      <c r="AD1" s="20"/>
      <c r="AE1" s="20"/>
      <c r="AF1" s="20"/>
      <c r="AG1" s="20"/>
      <c r="AH1" s="11"/>
      <c r="AI1" s="11" t="s">
        <v>9</v>
      </c>
      <c r="AJ1" s="2" t="s">
        <v>10</v>
      </c>
      <c r="AK1" s="2"/>
      <c r="AL1" s="2"/>
    </row>
    <row r="2" spans="1:38" ht="14.4" customHeight="1" x14ac:dyDescent="0.3">
      <c r="A2" s="2"/>
      <c r="B2" s="2"/>
      <c r="C2" s="2"/>
      <c r="D2" s="14"/>
      <c r="E2" s="3">
        <v>1</v>
      </c>
      <c r="F2" s="3">
        <v>2</v>
      </c>
      <c r="G2" s="3">
        <v>3</v>
      </c>
      <c r="H2" s="3">
        <v>4</v>
      </c>
      <c r="I2" s="3">
        <v>5</v>
      </c>
      <c r="J2" s="2" t="s">
        <v>11</v>
      </c>
      <c r="K2" s="3">
        <v>1</v>
      </c>
      <c r="L2" s="3">
        <v>2</v>
      </c>
      <c r="M2" s="3">
        <v>3</v>
      </c>
      <c r="N2" s="3">
        <v>4</v>
      </c>
      <c r="O2" s="3">
        <v>5</v>
      </c>
      <c r="P2" s="2" t="s">
        <v>11</v>
      </c>
      <c r="Q2" s="3">
        <v>1</v>
      </c>
      <c r="R2" s="3">
        <v>2</v>
      </c>
      <c r="S2" s="3">
        <v>3</v>
      </c>
      <c r="T2" s="3">
        <v>4</v>
      </c>
      <c r="U2" s="3">
        <v>5</v>
      </c>
      <c r="V2" s="2" t="s">
        <v>11</v>
      </c>
      <c r="W2" s="3">
        <v>1</v>
      </c>
      <c r="X2" s="3">
        <v>2</v>
      </c>
      <c r="Y2" s="3">
        <v>3</v>
      </c>
      <c r="Z2" s="3">
        <v>4</v>
      </c>
      <c r="AA2" s="3">
        <v>5</v>
      </c>
      <c r="AB2" s="2" t="s">
        <v>11</v>
      </c>
      <c r="AC2" s="3">
        <v>1</v>
      </c>
      <c r="AD2" s="3">
        <v>2</v>
      </c>
      <c r="AE2" s="3">
        <v>3</v>
      </c>
      <c r="AF2" s="3">
        <v>4</v>
      </c>
      <c r="AG2" s="3">
        <v>5</v>
      </c>
      <c r="AH2" s="2" t="s">
        <v>11</v>
      </c>
      <c r="AI2" s="2"/>
      <c r="AJ2" s="11" t="s">
        <v>12</v>
      </c>
      <c r="AK2" s="11"/>
      <c r="AL2" s="2"/>
    </row>
    <row r="3" spans="1:38" ht="15.75" customHeight="1" x14ac:dyDescent="0.3">
      <c r="A3" s="2">
        <v>1</v>
      </c>
      <c r="B3" s="2" t="s">
        <v>13</v>
      </c>
      <c r="C3" s="3">
        <v>43</v>
      </c>
      <c r="D3" s="14">
        <v>124</v>
      </c>
      <c r="E3" s="3">
        <v>67.8</v>
      </c>
      <c r="F3" s="3">
        <v>65.8</v>
      </c>
      <c r="G3" s="3">
        <v>50</v>
      </c>
      <c r="H3" s="3">
        <v>68.3</v>
      </c>
      <c r="I3" s="3">
        <v>55.7</v>
      </c>
      <c r="J3" s="3">
        <f t="shared" ref="J3:J34" si="0">AVERAGE(E3:I3)</f>
        <v>61.519999999999996</v>
      </c>
      <c r="K3" s="3">
        <v>11</v>
      </c>
      <c r="L3" s="3">
        <v>11</v>
      </c>
      <c r="M3" s="3">
        <v>11</v>
      </c>
      <c r="N3" s="3">
        <v>11</v>
      </c>
      <c r="O3" s="3">
        <v>11</v>
      </c>
      <c r="P3" s="3">
        <f t="shared" ref="P3:P34" si="1">AVERAGE(K3:O3)</f>
        <v>11</v>
      </c>
      <c r="Q3" s="3">
        <v>18</v>
      </c>
      <c r="R3" s="3">
        <v>15</v>
      </c>
      <c r="S3" s="3">
        <v>17</v>
      </c>
      <c r="T3" s="3">
        <v>21</v>
      </c>
      <c r="U3" s="3">
        <v>18</v>
      </c>
      <c r="V3" s="3">
        <f t="shared" ref="V3:V34" si="2">AVERAGE(Q3:U3)</f>
        <v>17.8</v>
      </c>
      <c r="W3" s="3">
        <v>16</v>
      </c>
      <c r="X3" s="3">
        <v>14</v>
      </c>
      <c r="Y3" s="3">
        <v>14</v>
      </c>
      <c r="Z3" s="3">
        <v>14</v>
      </c>
      <c r="AA3" s="3">
        <v>17</v>
      </c>
      <c r="AB3" s="3">
        <f t="shared" ref="AB3:AB34" si="3">AVERAGE(W3:AA3)</f>
        <v>15</v>
      </c>
      <c r="AC3" s="3">
        <v>15</v>
      </c>
      <c r="AD3" s="3">
        <v>20</v>
      </c>
      <c r="AE3" s="3">
        <v>12.5</v>
      </c>
      <c r="AF3" s="3">
        <v>18.7</v>
      </c>
      <c r="AG3" s="3">
        <v>14</v>
      </c>
      <c r="AH3" s="3">
        <f t="shared" ref="AH3:AH34" si="4">AVERAGE(AC3:AG3)</f>
        <v>16.04</v>
      </c>
      <c r="AI3" s="11">
        <v>97.02</v>
      </c>
      <c r="AJ3" s="4">
        <f t="shared" ref="AJ3:AJ34" si="5">AI3*7407.4/1000</f>
        <v>718.66594799999996</v>
      </c>
      <c r="AK3" s="5"/>
      <c r="AL3" s="4"/>
    </row>
    <row r="4" spans="1:38" ht="15.75" customHeight="1" x14ac:dyDescent="0.3">
      <c r="A4" s="2">
        <v>2</v>
      </c>
      <c r="B4" s="2" t="s">
        <v>14</v>
      </c>
      <c r="C4" s="3">
        <v>46</v>
      </c>
      <c r="D4" s="14">
        <v>102</v>
      </c>
      <c r="E4" s="3">
        <v>55.1</v>
      </c>
      <c r="F4" s="3">
        <v>69.3</v>
      </c>
      <c r="G4" s="3">
        <v>46.1</v>
      </c>
      <c r="H4" s="3">
        <v>70.8</v>
      </c>
      <c r="I4" s="3">
        <v>75.7</v>
      </c>
      <c r="J4" s="3">
        <f t="shared" si="0"/>
        <v>63.4</v>
      </c>
      <c r="K4" s="3">
        <v>6</v>
      </c>
      <c r="L4" s="3">
        <v>9</v>
      </c>
      <c r="M4" s="3">
        <v>6</v>
      </c>
      <c r="N4" s="3">
        <v>7</v>
      </c>
      <c r="O4" s="3">
        <v>8</v>
      </c>
      <c r="P4" s="3">
        <f t="shared" si="1"/>
        <v>7.2</v>
      </c>
      <c r="Q4" s="3">
        <v>12</v>
      </c>
      <c r="R4" s="3">
        <v>15</v>
      </c>
      <c r="S4" s="3">
        <v>13</v>
      </c>
      <c r="T4" s="3">
        <v>10</v>
      </c>
      <c r="U4" s="3">
        <v>15</v>
      </c>
      <c r="V4" s="3">
        <f t="shared" si="2"/>
        <v>13</v>
      </c>
      <c r="W4" s="3">
        <v>17</v>
      </c>
      <c r="X4" s="3">
        <v>19</v>
      </c>
      <c r="Y4" s="3">
        <v>15</v>
      </c>
      <c r="Z4" s="3">
        <v>15</v>
      </c>
      <c r="AA4" s="3">
        <v>14</v>
      </c>
      <c r="AB4" s="3">
        <f t="shared" si="3"/>
        <v>16</v>
      </c>
      <c r="AC4" s="3">
        <v>12.7</v>
      </c>
      <c r="AD4" s="3">
        <v>18.3</v>
      </c>
      <c r="AE4" s="3">
        <v>16.2</v>
      </c>
      <c r="AF4" s="3">
        <v>12.1</v>
      </c>
      <c r="AG4" s="3">
        <v>14.8</v>
      </c>
      <c r="AH4" s="3">
        <f t="shared" si="4"/>
        <v>14.820000000000002</v>
      </c>
      <c r="AI4" s="11">
        <v>117.61</v>
      </c>
      <c r="AJ4" s="4">
        <f t="shared" si="5"/>
        <v>871.18431399999986</v>
      </c>
      <c r="AK4" s="5"/>
      <c r="AL4" s="4"/>
    </row>
    <row r="5" spans="1:38" ht="15.75" customHeight="1" x14ac:dyDescent="0.3">
      <c r="A5" s="2">
        <v>3</v>
      </c>
      <c r="B5" s="2" t="s">
        <v>15</v>
      </c>
      <c r="C5" s="3">
        <v>43</v>
      </c>
      <c r="D5" s="14">
        <v>90</v>
      </c>
      <c r="E5" s="3">
        <v>70.8</v>
      </c>
      <c r="F5" s="3">
        <v>75.099999999999994</v>
      </c>
      <c r="G5" s="3">
        <v>45.4</v>
      </c>
      <c r="H5" s="3">
        <v>125.4</v>
      </c>
      <c r="I5" s="3">
        <v>100.6</v>
      </c>
      <c r="J5" s="3">
        <f t="shared" si="0"/>
        <v>83.46</v>
      </c>
      <c r="K5" s="3">
        <v>10</v>
      </c>
      <c r="L5" s="3">
        <v>9</v>
      </c>
      <c r="M5" s="3">
        <v>12</v>
      </c>
      <c r="N5" s="3">
        <v>10</v>
      </c>
      <c r="O5" s="3">
        <v>12</v>
      </c>
      <c r="P5" s="3">
        <f t="shared" si="1"/>
        <v>10.6</v>
      </c>
      <c r="Q5" s="3">
        <v>20</v>
      </c>
      <c r="R5" s="3">
        <v>15</v>
      </c>
      <c r="S5" s="3">
        <v>17</v>
      </c>
      <c r="T5" s="3">
        <v>22</v>
      </c>
      <c r="U5" s="3">
        <v>18</v>
      </c>
      <c r="V5" s="3">
        <f t="shared" si="2"/>
        <v>18.399999999999999</v>
      </c>
      <c r="W5" s="3">
        <v>14</v>
      </c>
      <c r="X5" s="3">
        <v>15</v>
      </c>
      <c r="Y5" s="3">
        <v>13</v>
      </c>
      <c r="Z5" s="3">
        <v>13</v>
      </c>
      <c r="AA5" s="3">
        <v>16</v>
      </c>
      <c r="AB5" s="3">
        <f t="shared" si="3"/>
        <v>14.2</v>
      </c>
      <c r="AC5" s="3">
        <v>18</v>
      </c>
      <c r="AD5" s="3">
        <v>14.5</v>
      </c>
      <c r="AE5" s="3">
        <v>16.2</v>
      </c>
      <c r="AF5" s="3">
        <v>17.8</v>
      </c>
      <c r="AG5" s="3">
        <v>15.7</v>
      </c>
      <c r="AH5" s="3">
        <f t="shared" si="4"/>
        <v>16.440000000000001</v>
      </c>
      <c r="AI5" s="11">
        <v>83.31</v>
      </c>
      <c r="AJ5" s="4">
        <f t="shared" si="5"/>
        <v>617.1104939999999</v>
      </c>
      <c r="AK5" s="5"/>
      <c r="AL5" s="4"/>
    </row>
    <row r="6" spans="1:38" ht="15.75" customHeight="1" x14ac:dyDescent="0.3">
      <c r="A6" s="2">
        <v>4</v>
      </c>
      <c r="B6" s="2" t="s">
        <v>16</v>
      </c>
      <c r="C6" s="3">
        <v>43</v>
      </c>
      <c r="D6" s="14">
        <v>60</v>
      </c>
      <c r="E6" s="3">
        <v>30.2</v>
      </c>
      <c r="F6" s="3">
        <v>35.4</v>
      </c>
      <c r="G6" s="3">
        <v>28.2</v>
      </c>
      <c r="H6" s="3">
        <v>30.7</v>
      </c>
      <c r="I6" s="3">
        <v>35.4</v>
      </c>
      <c r="J6" s="3">
        <f t="shared" si="0"/>
        <v>31.98</v>
      </c>
      <c r="K6" s="3">
        <v>6</v>
      </c>
      <c r="L6" s="3">
        <v>7</v>
      </c>
      <c r="M6" s="3">
        <v>4</v>
      </c>
      <c r="N6" s="3">
        <v>5</v>
      </c>
      <c r="O6" s="3">
        <v>5</v>
      </c>
      <c r="P6" s="3">
        <f t="shared" si="1"/>
        <v>5.4</v>
      </c>
      <c r="Q6" s="3">
        <v>10</v>
      </c>
      <c r="R6" s="3">
        <v>15</v>
      </c>
      <c r="S6" s="3">
        <v>10</v>
      </c>
      <c r="T6" s="3">
        <v>12</v>
      </c>
      <c r="U6" s="3">
        <v>13</v>
      </c>
      <c r="V6" s="3">
        <f t="shared" si="2"/>
        <v>12</v>
      </c>
      <c r="W6" s="3">
        <v>16</v>
      </c>
      <c r="X6" s="3">
        <v>14</v>
      </c>
      <c r="Y6" s="3">
        <v>16</v>
      </c>
      <c r="Z6" s="3">
        <v>18</v>
      </c>
      <c r="AA6" s="3">
        <v>13</v>
      </c>
      <c r="AB6" s="3">
        <f t="shared" si="3"/>
        <v>15.4</v>
      </c>
      <c r="AC6" s="3">
        <v>13.3</v>
      </c>
      <c r="AD6" s="3">
        <v>12.5</v>
      </c>
      <c r="AE6" s="3">
        <v>16.600000000000001</v>
      </c>
      <c r="AF6" s="3">
        <v>16.3</v>
      </c>
      <c r="AG6" s="3">
        <v>13.2</v>
      </c>
      <c r="AH6" s="3">
        <f t="shared" si="4"/>
        <v>14.38</v>
      </c>
      <c r="AI6" s="11">
        <v>103.95</v>
      </c>
      <c r="AJ6" s="4">
        <f t="shared" si="5"/>
        <v>769.99923000000001</v>
      </c>
      <c r="AK6" s="5"/>
      <c r="AL6" s="4"/>
    </row>
    <row r="7" spans="1:38" ht="15.75" customHeight="1" x14ac:dyDescent="0.3">
      <c r="A7" s="2">
        <v>5</v>
      </c>
      <c r="B7" s="2" t="s">
        <v>17</v>
      </c>
      <c r="C7" s="3">
        <v>43</v>
      </c>
      <c r="D7" s="14"/>
      <c r="E7" s="3">
        <v>30.5</v>
      </c>
      <c r="F7" s="3">
        <v>60.2</v>
      </c>
      <c r="G7" s="3">
        <v>35.799999999999997</v>
      </c>
      <c r="H7" s="3">
        <v>65.400000000000006</v>
      </c>
      <c r="I7" s="3">
        <v>40.799999999999997</v>
      </c>
      <c r="J7" s="3">
        <f t="shared" si="0"/>
        <v>46.54</v>
      </c>
      <c r="K7" s="3">
        <v>10</v>
      </c>
      <c r="L7" s="3">
        <v>11</v>
      </c>
      <c r="M7" s="3">
        <v>11</v>
      </c>
      <c r="N7" s="3">
        <v>10</v>
      </c>
      <c r="O7" s="3">
        <v>10</v>
      </c>
      <c r="P7" s="3">
        <f t="shared" si="1"/>
        <v>10.4</v>
      </c>
      <c r="Q7" s="3">
        <v>15</v>
      </c>
      <c r="R7" s="3">
        <v>12</v>
      </c>
      <c r="S7" s="3">
        <v>18</v>
      </c>
      <c r="T7" s="3">
        <v>15</v>
      </c>
      <c r="U7" s="3">
        <v>13</v>
      </c>
      <c r="V7" s="3">
        <f t="shared" si="2"/>
        <v>14.6</v>
      </c>
      <c r="W7" s="3">
        <v>16</v>
      </c>
      <c r="X7" s="3">
        <v>16</v>
      </c>
      <c r="Y7" s="3">
        <v>13</v>
      </c>
      <c r="Z7" s="3">
        <v>13</v>
      </c>
      <c r="AA7" s="3">
        <v>18</v>
      </c>
      <c r="AB7" s="3">
        <f t="shared" si="3"/>
        <v>15.2</v>
      </c>
      <c r="AC7" s="3">
        <v>12.1</v>
      </c>
      <c r="AD7" s="3">
        <v>15.6</v>
      </c>
      <c r="AE7" s="3">
        <v>18.2</v>
      </c>
      <c r="AF7" s="3">
        <v>12.2</v>
      </c>
      <c r="AG7" s="3">
        <v>10</v>
      </c>
      <c r="AH7" s="3">
        <f t="shared" si="4"/>
        <v>13.62</v>
      </c>
      <c r="AI7" s="11">
        <v>75.78</v>
      </c>
      <c r="AJ7" s="4">
        <f t="shared" si="5"/>
        <v>561.33277199999998</v>
      </c>
      <c r="AK7" s="8"/>
      <c r="AL7" s="9"/>
    </row>
    <row r="8" spans="1:38" ht="15.75" customHeight="1" x14ac:dyDescent="0.3">
      <c r="A8" s="2">
        <v>6</v>
      </c>
      <c r="B8" s="2" t="s">
        <v>18</v>
      </c>
      <c r="C8" s="3">
        <v>40</v>
      </c>
      <c r="D8" s="14"/>
      <c r="E8" s="3">
        <v>35.299999999999997</v>
      </c>
      <c r="F8" s="3">
        <v>60.9</v>
      </c>
      <c r="G8" s="3">
        <v>50.9</v>
      </c>
      <c r="H8" s="3">
        <v>41.4</v>
      </c>
      <c r="I8" s="3">
        <v>45.2</v>
      </c>
      <c r="J8" s="3">
        <f t="shared" si="0"/>
        <v>46.739999999999995</v>
      </c>
      <c r="K8" s="3">
        <v>8</v>
      </c>
      <c r="L8" s="3">
        <v>11</v>
      </c>
      <c r="M8" s="3">
        <v>11</v>
      </c>
      <c r="N8" s="3">
        <v>9</v>
      </c>
      <c r="O8" s="3">
        <v>10</v>
      </c>
      <c r="P8" s="3">
        <f t="shared" si="1"/>
        <v>9.8000000000000007</v>
      </c>
      <c r="Q8" s="3">
        <v>13</v>
      </c>
      <c r="R8" s="3">
        <v>15</v>
      </c>
      <c r="S8" s="3">
        <v>13</v>
      </c>
      <c r="T8" s="3">
        <v>11</v>
      </c>
      <c r="U8" s="3">
        <v>18</v>
      </c>
      <c r="V8" s="3">
        <f t="shared" si="2"/>
        <v>14</v>
      </c>
      <c r="W8" s="3">
        <v>14</v>
      </c>
      <c r="X8" s="3">
        <v>13</v>
      </c>
      <c r="Y8" s="3">
        <v>14</v>
      </c>
      <c r="Z8" s="3">
        <v>16</v>
      </c>
      <c r="AA8" s="3">
        <v>15</v>
      </c>
      <c r="AB8" s="3">
        <f t="shared" si="3"/>
        <v>14.4</v>
      </c>
      <c r="AC8" s="3">
        <v>14.9</v>
      </c>
      <c r="AD8" s="3">
        <v>16.8</v>
      </c>
      <c r="AE8" s="3">
        <v>12.9</v>
      </c>
      <c r="AF8" s="3">
        <v>13.6</v>
      </c>
      <c r="AG8" s="3">
        <v>15.4</v>
      </c>
      <c r="AH8" s="3">
        <f t="shared" si="4"/>
        <v>14.720000000000002</v>
      </c>
      <c r="AI8" s="11">
        <v>73.12</v>
      </c>
      <c r="AJ8" s="4">
        <f t="shared" si="5"/>
        <v>541.62908800000002</v>
      </c>
      <c r="AK8" s="5"/>
      <c r="AL8" s="9"/>
    </row>
    <row r="9" spans="1:38" ht="15.75" customHeight="1" x14ac:dyDescent="0.3">
      <c r="A9" s="2">
        <v>7</v>
      </c>
      <c r="B9" s="2" t="s">
        <v>19</v>
      </c>
      <c r="C9" s="3">
        <v>40</v>
      </c>
      <c r="D9" s="14"/>
      <c r="E9" s="3">
        <v>52.3</v>
      </c>
      <c r="F9" s="3">
        <v>45.5</v>
      </c>
      <c r="G9" s="3">
        <v>32.9</v>
      </c>
      <c r="H9" s="3">
        <v>52.8</v>
      </c>
      <c r="I9" s="3">
        <v>54.8</v>
      </c>
      <c r="J9" s="3">
        <f t="shared" si="0"/>
        <v>47.660000000000004</v>
      </c>
      <c r="K9" s="3">
        <v>9</v>
      </c>
      <c r="L9" s="3">
        <v>9</v>
      </c>
      <c r="M9" s="3">
        <v>9</v>
      </c>
      <c r="N9" s="3">
        <v>9</v>
      </c>
      <c r="O9" s="3">
        <v>10</v>
      </c>
      <c r="P9" s="3">
        <f t="shared" si="1"/>
        <v>9.1999999999999993</v>
      </c>
      <c r="Q9" s="3">
        <v>11</v>
      </c>
      <c r="R9" s="3">
        <v>15</v>
      </c>
      <c r="S9" s="3">
        <v>10</v>
      </c>
      <c r="T9" s="3">
        <v>15</v>
      </c>
      <c r="U9" s="3">
        <v>18</v>
      </c>
      <c r="V9" s="3">
        <f t="shared" si="2"/>
        <v>13.8</v>
      </c>
      <c r="W9" s="3">
        <v>20</v>
      </c>
      <c r="X9" s="3">
        <v>19</v>
      </c>
      <c r="Y9" s="3">
        <v>18</v>
      </c>
      <c r="Z9" s="3">
        <v>20</v>
      </c>
      <c r="AA9" s="3">
        <v>16</v>
      </c>
      <c r="AB9" s="3">
        <f t="shared" si="3"/>
        <v>18.600000000000001</v>
      </c>
      <c r="AC9" s="3">
        <v>16.399999999999999</v>
      </c>
      <c r="AD9" s="3">
        <v>18.899999999999999</v>
      </c>
      <c r="AE9" s="3">
        <v>14.9</v>
      </c>
      <c r="AF9" s="3">
        <v>13.6</v>
      </c>
      <c r="AG9" s="3">
        <v>14.7</v>
      </c>
      <c r="AH9" s="3">
        <f t="shared" si="4"/>
        <v>15.7</v>
      </c>
      <c r="AI9" s="11">
        <v>155.58000000000001</v>
      </c>
      <c r="AJ9" s="4">
        <f t="shared" si="5"/>
        <v>1152.4432920000002</v>
      </c>
      <c r="AK9" s="5"/>
      <c r="AL9" s="4"/>
    </row>
    <row r="10" spans="1:38" ht="15.75" customHeight="1" x14ac:dyDescent="0.3">
      <c r="A10" s="2">
        <v>8</v>
      </c>
      <c r="B10" s="2" t="s">
        <v>20</v>
      </c>
      <c r="C10" s="3">
        <v>40</v>
      </c>
      <c r="D10" s="14"/>
      <c r="E10" s="3">
        <v>35.1</v>
      </c>
      <c r="F10" s="3">
        <v>40.200000000000003</v>
      </c>
      <c r="G10" s="3">
        <v>42.6</v>
      </c>
      <c r="H10" s="3">
        <v>35.799999999999997</v>
      </c>
      <c r="I10" s="3">
        <v>38.5</v>
      </c>
      <c r="J10" s="3">
        <f t="shared" si="0"/>
        <v>38.44</v>
      </c>
      <c r="K10" s="3">
        <v>12</v>
      </c>
      <c r="L10" s="3">
        <v>11</v>
      </c>
      <c r="M10" s="3">
        <v>12</v>
      </c>
      <c r="N10" s="3">
        <v>11</v>
      </c>
      <c r="O10" s="3">
        <v>12</v>
      </c>
      <c r="P10" s="3">
        <f t="shared" si="1"/>
        <v>11.6</v>
      </c>
      <c r="Q10" s="3">
        <v>18</v>
      </c>
      <c r="R10" s="3">
        <v>12</v>
      </c>
      <c r="S10" s="3">
        <v>20</v>
      </c>
      <c r="T10" s="3">
        <v>15</v>
      </c>
      <c r="U10" s="3">
        <v>21</v>
      </c>
      <c r="V10" s="3">
        <f t="shared" si="2"/>
        <v>17.2</v>
      </c>
      <c r="W10" s="3">
        <v>14</v>
      </c>
      <c r="X10" s="3">
        <v>16</v>
      </c>
      <c r="Y10" s="3">
        <v>15</v>
      </c>
      <c r="Z10" s="3">
        <v>16</v>
      </c>
      <c r="AA10" s="3">
        <v>14</v>
      </c>
      <c r="AB10" s="3">
        <f t="shared" si="3"/>
        <v>15</v>
      </c>
      <c r="AC10" s="3">
        <v>12.3</v>
      </c>
      <c r="AD10" s="3">
        <v>15.4</v>
      </c>
      <c r="AE10" s="3">
        <v>22.1</v>
      </c>
      <c r="AF10" s="3">
        <v>16.3</v>
      </c>
      <c r="AG10" s="3">
        <v>20.7</v>
      </c>
      <c r="AH10" s="3">
        <f t="shared" si="4"/>
        <v>17.360000000000003</v>
      </c>
      <c r="AI10" s="11">
        <v>56.58</v>
      </c>
      <c r="AJ10" s="4">
        <f t="shared" si="5"/>
        <v>419.11069199999997</v>
      </c>
      <c r="AK10" s="5"/>
      <c r="AL10" s="4"/>
    </row>
    <row r="11" spans="1:38" ht="15.75" customHeight="1" x14ac:dyDescent="0.3">
      <c r="A11" s="2">
        <v>9</v>
      </c>
      <c r="B11" s="2" t="s">
        <v>21</v>
      </c>
      <c r="C11" s="3">
        <v>45</v>
      </c>
      <c r="D11" s="14"/>
      <c r="E11" s="3">
        <v>40</v>
      </c>
      <c r="F11" s="3">
        <v>80.8</v>
      </c>
      <c r="G11" s="3">
        <v>90.8</v>
      </c>
      <c r="H11" s="3">
        <v>41.2</v>
      </c>
      <c r="I11" s="3">
        <v>45.7</v>
      </c>
      <c r="J11" s="3">
        <f t="shared" si="0"/>
        <v>59.7</v>
      </c>
      <c r="K11" s="3">
        <v>7</v>
      </c>
      <c r="L11" s="3">
        <v>7</v>
      </c>
      <c r="M11" s="3">
        <v>9</v>
      </c>
      <c r="N11" s="3">
        <v>6</v>
      </c>
      <c r="O11" s="3">
        <v>6</v>
      </c>
      <c r="P11" s="3">
        <f t="shared" si="1"/>
        <v>7</v>
      </c>
      <c r="Q11" s="3">
        <v>13</v>
      </c>
      <c r="R11" s="3">
        <v>14</v>
      </c>
      <c r="S11" s="3">
        <v>15</v>
      </c>
      <c r="T11" s="3">
        <v>12</v>
      </c>
      <c r="U11" s="3">
        <v>12</v>
      </c>
      <c r="V11" s="3">
        <f t="shared" si="2"/>
        <v>13.2</v>
      </c>
      <c r="W11" s="3">
        <v>17</v>
      </c>
      <c r="X11" s="3">
        <v>14</v>
      </c>
      <c r="Y11" s="3">
        <v>15</v>
      </c>
      <c r="Z11" s="3">
        <v>15</v>
      </c>
      <c r="AA11" s="3">
        <v>14</v>
      </c>
      <c r="AB11" s="3">
        <f t="shared" si="3"/>
        <v>15</v>
      </c>
      <c r="AC11" s="3">
        <v>15.4</v>
      </c>
      <c r="AD11" s="3">
        <v>13.8</v>
      </c>
      <c r="AE11" s="3">
        <v>15.2</v>
      </c>
      <c r="AF11" s="3">
        <v>16.7</v>
      </c>
      <c r="AG11" s="3">
        <v>14.8</v>
      </c>
      <c r="AH11" s="3">
        <f t="shared" si="4"/>
        <v>15.180000000000001</v>
      </c>
      <c r="AI11" s="11">
        <v>112.52</v>
      </c>
      <c r="AJ11" s="4">
        <f t="shared" si="5"/>
        <v>833.48064799999997</v>
      </c>
      <c r="AK11" s="8"/>
      <c r="AL11" s="9"/>
    </row>
    <row r="12" spans="1:38" ht="15.75" customHeight="1" x14ac:dyDescent="0.3">
      <c r="A12" s="2">
        <v>10</v>
      </c>
      <c r="B12" s="2" t="s">
        <v>22</v>
      </c>
      <c r="C12" s="3">
        <v>43</v>
      </c>
      <c r="D12" s="14"/>
      <c r="E12" s="3">
        <v>40.200000000000003</v>
      </c>
      <c r="F12" s="3">
        <v>45.9</v>
      </c>
      <c r="G12" s="3">
        <v>52.1</v>
      </c>
      <c r="H12" s="3">
        <v>45.4</v>
      </c>
      <c r="I12" s="3">
        <v>50.9</v>
      </c>
      <c r="J12" s="3">
        <f t="shared" si="0"/>
        <v>46.9</v>
      </c>
      <c r="K12" s="3">
        <v>9</v>
      </c>
      <c r="L12" s="3">
        <v>11</v>
      </c>
      <c r="M12" s="3">
        <v>12</v>
      </c>
      <c r="N12" s="3">
        <v>11</v>
      </c>
      <c r="O12" s="3">
        <v>10</v>
      </c>
      <c r="P12" s="3">
        <f t="shared" si="1"/>
        <v>10.6</v>
      </c>
      <c r="Q12" s="3">
        <v>10</v>
      </c>
      <c r="R12" s="3">
        <v>27</v>
      </c>
      <c r="S12" s="3">
        <v>22</v>
      </c>
      <c r="T12" s="3">
        <v>17</v>
      </c>
      <c r="U12" s="3">
        <v>15</v>
      </c>
      <c r="V12" s="3">
        <f t="shared" si="2"/>
        <v>18.2</v>
      </c>
      <c r="W12" s="3">
        <v>14</v>
      </c>
      <c r="X12" s="3">
        <v>13</v>
      </c>
      <c r="Y12" s="3">
        <v>14</v>
      </c>
      <c r="Z12" s="3">
        <v>16</v>
      </c>
      <c r="AA12" s="3">
        <v>14</v>
      </c>
      <c r="AB12" s="3">
        <f t="shared" si="3"/>
        <v>14.2</v>
      </c>
      <c r="AC12" s="3">
        <v>15.9</v>
      </c>
      <c r="AD12" s="3">
        <v>13.5</v>
      </c>
      <c r="AE12" s="3">
        <v>15.9</v>
      </c>
      <c r="AF12" s="3">
        <v>16.5</v>
      </c>
      <c r="AG12" s="3">
        <v>14.1</v>
      </c>
      <c r="AH12" s="3">
        <f t="shared" si="4"/>
        <v>15.179999999999998</v>
      </c>
      <c r="AI12" s="11">
        <v>82.93</v>
      </c>
      <c r="AJ12" s="4">
        <f t="shared" si="5"/>
        <v>614.29568200000006</v>
      </c>
      <c r="AK12" s="8"/>
      <c r="AL12" s="9"/>
    </row>
    <row r="13" spans="1:38" ht="15.75" customHeight="1" x14ac:dyDescent="0.3">
      <c r="A13" s="2">
        <v>11</v>
      </c>
      <c r="B13" s="2" t="s">
        <v>23</v>
      </c>
      <c r="C13" s="3">
        <v>43</v>
      </c>
      <c r="D13" s="14"/>
      <c r="E13" s="3">
        <v>95.2</v>
      </c>
      <c r="F13" s="3">
        <v>120.4</v>
      </c>
      <c r="G13" s="3">
        <v>90.3</v>
      </c>
      <c r="H13" s="3">
        <v>70</v>
      </c>
      <c r="I13" s="3">
        <v>78</v>
      </c>
      <c r="J13" s="3">
        <f t="shared" si="0"/>
        <v>90.78</v>
      </c>
      <c r="K13" s="3">
        <v>9</v>
      </c>
      <c r="L13" s="3">
        <v>7</v>
      </c>
      <c r="M13" s="3">
        <v>8</v>
      </c>
      <c r="N13" s="3">
        <v>7</v>
      </c>
      <c r="O13" s="3">
        <v>6</v>
      </c>
      <c r="P13" s="3">
        <f t="shared" si="1"/>
        <v>7.4</v>
      </c>
      <c r="Q13" s="3">
        <v>14</v>
      </c>
      <c r="R13" s="3">
        <v>11</v>
      </c>
      <c r="S13" s="3">
        <v>16</v>
      </c>
      <c r="T13" s="3">
        <v>14</v>
      </c>
      <c r="U13" s="3">
        <v>11</v>
      </c>
      <c r="V13" s="3">
        <f t="shared" si="2"/>
        <v>13.2</v>
      </c>
      <c r="W13" s="3">
        <v>15</v>
      </c>
      <c r="X13" s="3">
        <v>14</v>
      </c>
      <c r="Y13" s="3">
        <v>14</v>
      </c>
      <c r="Z13" s="3">
        <v>17</v>
      </c>
      <c r="AA13" s="3">
        <v>15</v>
      </c>
      <c r="AB13" s="3">
        <f t="shared" si="3"/>
        <v>15</v>
      </c>
      <c r="AC13" s="3">
        <v>17.2</v>
      </c>
      <c r="AD13" s="3">
        <v>8.1</v>
      </c>
      <c r="AE13" s="3">
        <v>5.6</v>
      </c>
      <c r="AF13" s="3">
        <v>12.9</v>
      </c>
      <c r="AG13" s="3">
        <v>11.8</v>
      </c>
      <c r="AH13" s="3">
        <f t="shared" si="4"/>
        <v>11.12</v>
      </c>
      <c r="AI13" s="11">
        <v>80.260000000000005</v>
      </c>
      <c r="AJ13" s="4">
        <f t="shared" si="5"/>
        <v>594.51792399999999</v>
      </c>
      <c r="AK13" s="8"/>
      <c r="AL13" s="9"/>
    </row>
    <row r="14" spans="1:38" ht="15.75" customHeight="1" x14ac:dyDescent="0.3">
      <c r="A14" s="2">
        <v>12</v>
      </c>
      <c r="B14" s="2" t="s">
        <v>24</v>
      </c>
      <c r="C14" s="3">
        <v>38</v>
      </c>
      <c r="D14" s="14"/>
      <c r="E14" s="3">
        <v>75.5</v>
      </c>
      <c r="F14" s="3">
        <v>60.2</v>
      </c>
      <c r="G14" s="3">
        <v>60.9</v>
      </c>
      <c r="H14" s="3">
        <v>75.3</v>
      </c>
      <c r="I14" s="3">
        <v>90</v>
      </c>
      <c r="J14" s="3">
        <f t="shared" si="0"/>
        <v>72.38</v>
      </c>
      <c r="K14" s="3">
        <v>9</v>
      </c>
      <c r="L14" s="3">
        <v>7</v>
      </c>
      <c r="M14" s="3">
        <v>9</v>
      </c>
      <c r="N14" s="3">
        <v>8</v>
      </c>
      <c r="O14" s="3">
        <v>6</v>
      </c>
      <c r="P14" s="3">
        <f t="shared" si="1"/>
        <v>7.8</v>
      </c>
      <c r="Q14" s="3">
        <v>14</v>
      </c>
      <c r="R14" s="3">
        <v>11</v>
      </c>
      <c r="S14" s="3">
        <v>15</v>
      </c>
      <c r="T14" s="3">
        <v>14</v>
      </c>
      <c r="U14" s="3">
        <v>10</v>
      </c>
      <c r="V14" s="3">
        <f t="shared" si="2"/>
        <v>12.8</v>
      </c>
      <c r="W14" s="3">
        <v>16</v>
      </c>
      <c r="X14" s="3">
        <v>14</v>
      </c>
      <c r="Y14" s="3">
        <v>16</v>
      </c>
      <c r="Z14" s="3">
        <v>13</v>
      </c>
      <c r="AA14" s="3">
        <v>15</v>
      </c>
      <c r="AB14" s="3">
        <f t="shared" si="3"/>
        <v>14.8</v>
      </c>
      <c r="AC14" s="3">
        <v>15</v>
      </c>
      <c r="AD14" s="3">
        <v>13.7</v>
      </c>
      <c r="AE14" s="3">
        <v>14.1</v>
      </c>
      <c r="AF14" s="3">
        <v>14.2</v>
      </c>
      <c r="AG14" s="3">
        <v>15.6</v>
      </c>
      <c r="AH14" s="3">
        <f t="shared" si="4"/>
        <v>14.52</v>
      </c>
      <c r="AI14" s="11">
        <v>86.72</v>
      </c>
      <c r="AJ14" s="4">
        <f t="shared" si="5"/>
        <v>642.36972800000001</v>
      </c>
      <c r="AK14" s="5"/>
      <c r="AL14" s="4"/>
    </row>
    <row r="15" spans="1:38" ht="15.75" customHeight="1" x14ac:dyDescent="0.3">
      <c r="A15" s="2">
        <v>13</v>
      </c>
      <c r="B15" s="2" t="s">
        <v>25</v>
      </c>
      <c r="C15" s="3">
        <v>43</v>
      </c>
      <c r="D15" s="14"/>
      <c r="E15" s="3">
        <v>57.9</v>
      </c>
      <c r="F15" s="3">
        <v>55.8</v>
      </c>
      <c r="G15" s="3">
        <v>93.6</v>
      </c>
      <c r="H15" s="3">
        <v>86.7</v>
      </c>
      <c r="I15" s="3">
        <v>59.1</v>
      </c>
      <c r="J15" s="3">
        <f t="shared" si="0"/>
        <v>70.62</v>
      </c>
      <c r="K15" s="3">
        <v>10</v>
      </c>
      <c r="L15" s="3">
        <v>7</v>
      </c>
      <c r="M15" s="3">
        <v>10</v>
      </c>
      <c r="N15" s="3">
        <v>7</v>
      </c>
      <c r="O15" s="3">
        <v>7</v>
      </c>
      <c r="P15" s="3">
        <f t="shared" si="1"/>
        <v>8.1999999999999993</v>
      </c>
      <c r="Q15" s="3">
        <v>11</v>
      </c>
      <c r="R15" s="3">
        <v>14</v>
      </c>
      <c r="S15" s="3">
        <v>14</v>
      </c>
      <c r="T15" s="3">
        <v>14</v>
      </c>
      <c r="U15" s="3">
        <v>14</v>
      </c>
      <c r="V15" s="3">
        <f t="shared" si="2"/>
        <v>13.4</v>
      </c>
      <c r="W15" s="3">
        <v>26</v>
      </c>
      <c r="X15" s="3">
        <v>24</v>
      </c>
      <c r="Y15" s="3">
        <v>25</v>
      </c>
      <c r="Z15" s="3">
        <v>25</v>
      </c>
      <c r="AA15" s="3">
        <v>26</v>
      </c>
      <c r="AB15" s="3">
        <f t="shared" si="3"/>
        <v>25.2</v>
      </c>
      <c r="AC15" s="3">
        <v>10.5</v>
      </c>
      <c r="AD15" s="3">
        <v>8.8000000000000007</v>
      </c>
      <c r="AE15" s="3">
        <v>20.100000000000001</v>
      </c>
      <c r="AF15" s="3">
        <v>11.7</v>
      </c>
      <c r="AG15" s="3">
        <v>14.7</v>
      </c>
      <c r="AH15" s="3">
        <f t="shared" si="4"/>
        <v>13.160000000000002</v>
      </c>
      <c r="AI15" s="11">
        <v>336.35</v>
      </c>
      <c r="AJ15" s="4">
        <f t="shared" si="5"/>
        <v>2491.4789900000001</v>
      </c>
      <c r="AK15" s="5"/>
      <c r="AL15" s="4"/>
    </row>
    <row r="16" spans="1:38" ht="15.75" customHeight="1" x14ac:dyDescent="0.3">
      <c r="A16" s="2">
        <v>14</v>
      </c>
      <c r="B16" s="2" t="s">
        <v>26</v>
      </c>
      <c r="C16" s="3">
        <v>45</v>
      </c>
      <c r="D16" s="14"/>
      <c r="E16" s="3">
        <v>60.2</v>
      </c>
      <c r="F16" s="3">
        <v>110.8</v>
      </c>
      <c r="G16" s="3">
        <v>90.6</v>
      </c>
      <c r="H16" s="3">
        <v>76.099999999999994</v>
      </c>
      <c r="I16" s="3">
        <v>63.7</v>
      </c>
      <c r="J16" s="3">
        <f t="shared" si="0"/>
        <v>80.28</v>
      </c>
      <c r="K16" s="3">
        <v>7</v>
      </c>
      <c r="L16" s="3">
        <v>5</v>
      </c>
      <c r="M16" s="3">
        <v>4</v>
      </c>
      <c r="N16" s="3">
        <v>7</v>
      </c>
      <c r="O16" s="3">
        <v>8</v>
      </c>
      <c r="P16" s="3">
        <f t="shared" si="1"/>
        <v>6.2</v>
      </c>
      <c r="Q16" s="3">
        <v>12</v>
      </c>
      <c r="R16" s="3">
        <v>12</v>
      </c>
      <c r="S16" s="3">
        <v>10</v>
      </c>
      <c r="T16" s="3">
        <v>13</v>
      </c>
      <c r="U16" s="3">
        <v>14</v>
      </c>
      <c r="V16" s="3">
        <f t="shared" si="2"/>
        <v>12.2</v>
      </c>
      <c r="W16" s="3">
        <v>18</v>
      </c>
      <c r="X16" s="3">
        <v>15</v>
      </c>
      <c r="Y16" s="3">
        <v>13</v>
      </c>
      <c r="Z16" s="3">
        <v>15</v>
      </c>
      <c r="AA16" s="3">
        <v>15</v>
      </c>
      <c r="AB16" s="3">
        <f t="shared" si="3"/>
        <v>15.2</v>
      </c>
      <c r="AC16" s="3">
        <v>16.5</v>
      </c>
      <c r="AD16" s="3">
        <v>14.4</v>
      </c>
      <c r="AE16" s="3">
        <v>15.8</v>
      </c>
      <c r="AF16" s="3">
        <v>22.3</v>
      </c>
      <c r="AG16" s="3">
        <v>29.9</v>
      </c>
      <c r="AH16" s="3">
        <f t="shared" si="4"/>
        <v>19.78</v>
      </c>
      <c r="AI16" s="11">
        <v>104</v>
      </c>
      <c r="AJ16" s="4">
        <f t="shared" si="5"/>
        <v>770.36959999999999</v>
      </c>
      <c r="AK16" s="5"/>
      <c r="AL16" s="4"/>
    </row>
    <row r="17" spans="1:38" ht="14.4" customHeight="1" x14ac:dyDescent="0.3">
      <c r="A17" s="2">
        <v>15</v>
      </c>
      <c r="B17" s="2" t="s">
        <v>27</v>
      </c>
      <c r="C17" s="3">
        <v>45</v>
      </c>
      <c r="D17" s="14"/>
      <c r="E17" s="3">
        <v>60.4</v>
      </c>
      <c r="F17" s="3">
        <v>45</v>
      </c>
      <c r="G17" s="3">
        <v>41</v>
      </c>
      <c r="H17" s="3">
        <v>40.200000000000003</v>
      </c>
      <c r="I17" s="3">
        <v>35.799999999999997</v>
      </c>
      <c r="J17" s="3">
        <f t="shared" si="0"/>
        <v>44.480000000000004</v>
      </c>
      <c r="K17" s="3">
        <v>10</v>
      </c>
      <c r="L17" s="3">
        <v>9</v>
      </c>
      <c r="M17" s="3">
        <v>12</v>
      </c>
      <c r="N17" s="3">
        <v>12</v>
      </c>
      <c r="O17" s="3">
        <v>10</v>
      </c>
      <c r="P17" s="3">
        <f t="shared" si="1"/>
        <v>10.6</v>
      </c>
      <c r="Q17" s="3">
        <v>20</v>
      </c>
      <c r="R17" s="3">
        <v>10</v>
      </c>
      <c r="S17" s="3">
        <v>21</v>
      </c>
      <c r="T17" s="3">
        <v>20</v>
      </c>
      <c r="U17" s="3">
        <v>14</v>
      </c>
      <c r="V17" s="3">
        <f t="shared" si="2"/>
        <v>17</v>
      </c>
      <c r="W17" s="3">
        <v>15</v>
      </c>
      <c r="X17" s="3">
        <v>19</v>
      </c>
      <c r="Y17" s="3">
        <v>18</v>
      </c>
      <c r="Z17" s="3">
        <v>15</v>
      </c>
      <c r="AA17" s="3">
        <v>17</v>
      </c>
      <c r="AB17" s="3">
        <f t="shared" si="3"/>
        <v>16.8</v>
      </c>
      <c r="AC17" s="3">
        <v>16</v>
      </c>
      <c r="AD17" s="3">
        <v>15.9</v>
      </c>
      <c r="AE17" s="3">
        <v>15.9</v>
      </c>
      <c r="AF17" s="3">
        <v>15</v>
      </c>
      <c r="AG17" s="3">
        <v>13.9</v>
      </c>
      <c r="AH17" s="3">
        <f t="shared" si="4"/>
        <v>15.34</v>
      </c>
      <c r="AI17" s="11">
        <v>114.35</v>
      </c>
      <c r="AJ17" s="4">
        <f t="shared" si="5"/>
        <v>847.03618999999992</v>
      </c>
      <c r="AK17" s="5"/>
      <c r="AL17" s="4"/>
    </row>
    <row r="18" spans="1:38" ht="14.4" customHeight="1" x14ac:dyDescent="0.3">
      <c r="A18" s="2">
        <v>16</v>
      </c>
      <c r="B18" s="2" t="s">
        <v>28</v>
      </c>
      <c r="C18" s="3">
        <v>43</v>
      </c>
      <c r="D18" s="14"/>
      <c r="E18" s="3">
        <v>45.5</v>
      </c>
      <c r="F18" s="3">
        <v>34.700000000000003</v>
      </c>
      <c r="G18" s="3">
        <v>36.5</v>
      </c>
      <c r="H18" s="3">
        <v>42</v>
      </c>
      <c r="I18" s="3">
        <v>48.2</v>
      </c>
      <c r="J18" s="3">
        <f t="shared" si="0"/>
        <v>41.379999999999995</v>
      </c>
      <c r="K18" s="3">
        <v>6</v>
      </c>
      <c r="L18" s="3">
        <v>8</v>
      </c>
      <c r="M18" s="3">
        <v>6</v>
      </c>
      <c r="N18" s="3">
        <v>8</v>
      </c>
      <c r="O18" s="3">
        <v>7</v>
      </c>
      <c r="P18" s="3">
        <f t="shared" si="1"/>
        <v>7</v>
      </c>
      <c r="Q18" s="3">
        <v>10</v>
      </c>
      <c r="R18" s="3">
        <v>15</v>
      </c>
      <c r="S18" s="3">
        <v>12</v>
      </c>
      <c r="T18" s="3">
        <v>14</v>
      </c>
      <c r="U18" s="3">
        <v>12</v>
      </c>
      <c r="V18" s="3">
        <f t="shared" si="2"/>
        <v>12.6</v>
      </c>
      <c r="W18" s="3">
        <v>16</v>
      </c>
      <c r="X18" s="3">
        <v>18</v>
      </c>
      <c r="Y18" s="3">
        <v>15</v>
      </c>
      <c r="Z18" s="3">
        <v>14</v>
      </c>
      <c r="AA18" s="3">
        <v>15</v>
      </c>
      <c r="AB18" s="3">
        <f t="shared" si="3"/>
        <v>15.6</v>
      </c>
      <c r="AC18" s="3">
        <v>12.4</v>
      </c>
      <c r="AD18" s="3">
        <v>11.2</v>
      </c>
      <c r="AE18" s="3">
        <v>10.5</v>
      </c>
      <c r="AF18" s="3">
        <v>12.1</v>
      </c>
      <c r="AG18" s="3">
        <v>11.9</v>
      </c>
      <c r="AH18" s="3">
        <f t="shared" si="4"/>
        <v>11.620000000000001</v>
      </c>
      <c r="AI18" s="11">
        <v>104.94</v>
      </c>
      <c r="AJ18" s="4">
        <f t="shared" si="5"/>
        <v>777.33255599999995</v>
      </c>
      <c r="AK18" s="5"/>
      <c r="AL18" s="4"/>
    </row>
    <row r="19" spans="1:38" ht="14.4" customHeight="1" x14ac:dyDescent="0.3">
      <c r="A19" s="2">
        <v>17</v>
      </c>
      <c r="B19" s="2" t="s">
        <v>29</v>
      </c>
      <c r="C19" s="3">
        <v>47</v>
      </c>
      <c r="D19" s="14"/>
      <c r="E19" s="3">
        <v>85.2</v>
      </c>
      <c r="F19" s="3">
        <v>110</v>
      </c>
      <c r="G19" s="3">
        <v>90.4</v>
      </c>
      <c r="H19" s="3">
        <v>50.7</v>
      </c>
      <c r="I19" s="3">
        <v>75.400000000000006</v>
      </c>
      <c r="J19" s="3">
        <f t="shared" si="0"/>
        <v>82.34</v>
      </c>
      <c r="K19" s="3">
        <v>6</v>
      </c>
      <c r="L19" s="3">
        <v>6</v>
      </c>
      <c r="M19" s="3">
        <v>7</v>
      </c>
      <c r="N19" s="3">
        <v>6</v>
      </c>
      <c r="O19" s="3">
        <v>5</v>
      </c>
      <c r="P19" s="3">
        <f t="shared" si="1"/>
        <v>6</v>
      </c>
      <c r="Q19" s="3">
        <v>11</v>
      </c>
      <c r="R19" s="3">
        <v>14</v>
      </c>
      <c r="S19" s="3">
        <v>13</v>
      </c>
      <c r="T19" s="3">
        <v>11</v>
      </c>
      <c r="U19" s="3">
        <v>11</v>
      </c>
      <c r="V19" s="3">
        <f t="shared" si="2"/>
        <v>12</v>
      </c>
      <c r="W19" s="3">
        <v>16</v>
      </c>
      <c r="X19" s="3">
        <v>14</v>
      </c>
      <c r="Y19" s="3">
        <v>15</v>
      </c>
      <c r="Z19" s="3">
        <v>17</v>
      </c>
      <c r="AA19" s="3">
        <v>15</v>
      </c>
      <c r="AB19" s="3">
        <f t="shared" si="3"/>
        <v>15.4</v>
      </c>
      <c r="AC19" s="3">
        <v>16.5</v>
      </c>
      <c r="AD19" s="3">
        <v>15.7</v>
      </c>
      <c r="AE19" s="3">
        <v>15.3</v>
      </c>
      <c r="AF19" s="3">
        <v>14.5</v>
      </c>
      <c r="AG19" s="3">
        <v>17.3</v>
      </c>
      <c r="AH19" s="3">
        <f t="shared" si="4"/>
        <v>15.86</v>
      </c>
      <c r="AI19" s="11">
        <v>83.19</v>
      </c>
      <c r="AJ19" s="4">
        <f t="shared" si="5"/>
        <v>616.22160599999995</v>
      </c>
      <c r="AK19" s="5"/>
      <c r="AL19" s="4"/>
    </row>
    <row r="20" spans="1:38" ht="14.4" customHeight="1" x14ac:dyDescent="0.3">
      <c r="A20" s="2">
        <v>18</v>
      </c>
      <c r="B20" s="2" t="s">
        <v>30</v>
      </c>
      <c r="C20" s="6">
        <v>39</v>
      </c>
      <c r="D20" s="15"/>
      <c r="E20" s="6">
        <v>70.7</v>
      </c>
      <c r="F20" s="6">
        <v>70</v>
      </c>
      <c r="G20" s="6">
        <v>71.900000000000006</v>
      </c>
      <c r="H20" s="6">
        <v>71.7</v>
      </c>
      <c r="I20" s="6">
        <v>71.8</v>
      </c>
      <c r="J20" s="3">
        <f t="shared" si="0"/>
        <v>71.22</v>
      </c>
      <c r="K20" s="6">
        <v>7</v>
      </c>
      <c r="L20" s="6">
        <v>7</v>
      </c>
      <c r="M20" s="6">
        <v>6</v>
      </c>
      <c r="N20" s="6">
        <v>7</v>
      </c>
      <c r="O20" s="6">
        <v>7</v>
      </c>
      <c r="P20" s="6">
        <f t="shared" si="1"/>
        <v>6.8</v>
      </c>
      <c r="Q20" s="6">
        <v>12</v>
      </c>
      <c r="R20" s="6">
        <v>13</v>
      </c>
      <c r="S20" s="6">
        <v>13</v>
      </c>
      <c r="T20" s="6">
        <v>13</v>
      </c>
      <c r="U20" s="6">
        <v>13</v>
      </c>
      <c r="V20" s="3">
        <f t="shared" si="2"/>
        <v>12.8</v>
      </c>
      <c r="W20" s="6">
        <v>13</v>
      </c>
      <c r="X20" s="6">
        <v>13</v>
      </c>
      <c r="Y20" s="6">
        <v>12</v>
      </c>
      <c r="Z20" s="6">
        <v>12</v>
      </c>
      <c r="AA20" s="6">
        <v>12</v>
      </c>
      <c r="AB20" s="3">
        <f t="shared" si="3"/>
        <v>12.4</v>
      </c>
      <c r="AC20" s="6">
        <v>12.5</v>
      </c>
      <c r="AD20" s="6">
        <v>13.1</v>
      </c>
      <c r="AE20" s="6">
        <v>12.6</v>
      </c>
      <c r="AF20" s="6">
        <v>12.5</v>
      </c>
      <c r="AG20" s="6">
        <v>12.6</v>
      </c>
      <c r="AH20" s="3">
        <f t="shared" si="4"/>
        <v>12.66</v>
      </c>
      <c r="AI20" s="7">
        <v>53.94</v>
      </c>
      <c r="AJ20" s="4">
        <f t="shared" si="5"/>
        <v>399.55515599999995</v>
      </c>
      <c r="AK20" s="5"/>
      <c r="AL20" s="4"/>
    </row>
    <row r="21" spans="1:38" ht="14.4" customHeight="1" x14ac:dyDescent="0.3">
      <c r="A21" s="2">
        <v>19</v>
      </c>
      <c r="B21" s="2" t="s">
        <v>31</v>
      </c>
      <c r="C21" s="6">
        <v>43</v>
      </c>
      <c r="D21" s="15"/>
      <c r="E21" s="6">
        <v>61.6</v>
      </c>
      <c r="F21" s="6">
        <v>55.8</v>
      </c>
      <c r="G21" s="6">
        <v>65.099999999999994</v>
      </c>
      <c r="H21" s="6">
        <v>62.8</v>
      </c>
      <c r="I21" s="6">
        <v>63.4</v>
      </c>
      <c r="J21" s="3">
        <f t="shared" si="0"/>
        <v>61.739999999999995</v>
      </c>
      <c r="K21" s="6">
        <v>8</v>
      </c>
      <c r="L21" s="6">
        <v>8</v>
      </c>
      <c r="M21" s="6">
        <v>7</v>
      </c>
      <c r="N21" s="6">
        <v>7</v>
      </c>
      <c r="O21" s="6">
        <v>8</v>
      </c>
      <c r="P21" s="6">
        <f t="shared" si="1"/>
        <v>7.6</v>
      </c>
      <c r="Q21" s="6">
        <v>14</v>
      </c>
      <c r="R21" s="6">
        <v>13</v>
      </c>
      <c r="S21" s="6">
        <v>15</v>
      </c>
      <c r="T21" s="6">
        <v>14</v>
      </c>
      <c r="U21" s="6">
        <v>13</v>
      </c>
      <c r="V21" s="3">
        <f t="shared" si="2"/>
        <v>13.8</v>
      </c>
      <c r="W21" s="6">
        <v>18</v>
      </c>
      <c r="X21" s="6">
        <v>18</v>
      </c>
      <c r="Y21" s="6">
        <v>18</v>
      </c>
      <c r="Z21" s="6">
        <v>18</v>
      </c>
      <c r="AA21" s="6">
        <v>18</v>
      </c>
      <c r="AB21" s="3">
        <f t="shared" si="3"/>
        <v>18</v>
      </c>
      <c r="AC21" s="6">
        <v>13.9</v>
      </c>
      <c r="AD21" s="6">
        <v>14.2</v>
      </c>
      <c r="AE21" s="6">
        <v>14</v>
      </c>
      <c r="AF21" s="6">
        <v>14</v>
      </c>
      <c r="AG21" s="6">
        <v>14.1</v>
      </c>
      <c r="AH21" s="3">
        <f t="shared" si="4"/>
        <v>14.040000000000001</v>
      </c>
      <c r="AI21" s="7">
        <v>55.07</v>
      </c>
      <c r="AJ21" s="4">
        <f t="shared" si="5"/>
        <v>407.92551799999995</v>
      </c>
      <c r="AK21" s="5"/>
      <c r="AL21" s="4"/>
    </row>
    <row r="22" spans="1:38" ht="15.6" customHeight="1" x14ac:dyDescent="0.3">
      <c r="A22" s="2">
        <v>20</v>
      </c>
      <c r="B22" s="2" t="s">
        <v>32</v>
      </c>
      <c r="C22" s="6">
        <v>54</v>
      </c>
      <c r="D22" s="16"/>
      <c r="E22" s="6">
        <v>49.1</v>
      </c>
      <c r="F22" s="6">
        <v>49.2</v>
      </c>
      <c r="G22" s="6">
        <v>49.2</v>
      </c>
      <c r="H22" s="6">
        <v>49.1</v>
      </c>
      <c r="I22" s="6">
        <v>49.3</v>
      </c>
      <c r="J22" s="3">
        <f t="shared" si="0"/>
        <v>49.179999999999993</v>
      </c>
      <c r="K22" s="6">
        <v>6</v>
      </c>
      <c r="L22" s="6">
        <v>6</v>
      </c>
      <c r="M22" s="6">
        <v>6</v>
      </c>
      <c r="N22" s="6">
        <v>7</v>
      </c>
      <c r="O22" s="6">
        <v>7</v>
      </c>
      <c r="P22" s="6">
        <f t="shared" si="1"/>
        <v>6.4</v>
      </c>
      <c r="Q22" s="6">
        <v>13</v>
      </c>
      <c r="R22" s="6">
        <v>13</v>
      </c>
      <c r="S22" s="6">
        <v>13</v>
      </c>
      <c r="T22" s="6">
        <v>13</v>
      </c>
      <c r="U22" s="6">
        <v>13</v>
      </c>
      <c r="V22" s="3">
        <f t="shared" si="2"/>
        <v>13</v>
      </c>
      <c r="W22" s="6">
        <v>14</v>
      </c>
      <c r="X22" s="6">
        <v>15</v>
      </c>
      <c r="Y22" s="6">
        <v>15</v>
      </c>
      <c r="Z22" s="6">
        <v>14</v>
      </c>
      <c r="AA22" s="6">
        <v>15</v>
      </c>
      <c r="AB22" s="3">
        <f t="shared" si="3"/>
        <v>14.6</v>
      </c>
      <c r="AC22" s="6">
        <v>14</v>
      </c>
      <c r="AD22" s="6">
        <v>14.3</v>
      </c>
      <c r="AE22" s="6">
        <v>14.5</v>
      </c>
      <c r="AF22" s="6">
        <v>14.4</v>
      </c>
      <c r="AG22" s="6">
        <v>13.8</v>
      </c>
      <c r="AH22" s="3">
        <f t="shared" si="4"/>
        <v>14.2</v>
      </c>
      <c r="AI22" s="7">
        <v>60.61</v>
      </c>
      <c r="AJ22" s="4">
        <f t="shared" si="5"/>
        <v>448.96251399999994</v>
      </c>
      <c r="AK22" s="8"/>
      <c r="AL22" s="4"/>
    </row>
    <row r="23" spans="1:38" ht="14.4" customHeight="1" x14ac:dyDescent="0.3">
      <c r="A23" s="2">
        <v>21</v>
      </c>
      <c r="B23" s="2" t="s">
        <v>33</v>
      </c>
      <c r="C23" s="6">
        <v>47</v>
      </c>
      <c r="D23" s="15"/>
      <c r="E23" s="6">
        <v>73.8</v>
      </c>
      <c r="F23" s="6">
        <v>74.2</v>
      </c>
      <c r="G23" s="6">
        <v>73.599999999999994</v>
      </c>
      <c r="H23" s="6">
        <v>74.7</v>
      </c>
      <c r="I23" s="6">
        <v>74.3</v>
      </c>
      <c r="J23" s="3">
        <f t="shared" si="0"/>
        <v>74.12</v>
      </c>
      <c r="K23" s="6">
        <v>7</v>
      </c>
      <c r="L23" s="6">
        <v>8</v>
      </c>
      <c r="M23" s="6">
        <v>7</v>
      </c>
      <c r="N23" s="6">
        <v>8</v>
      </c>
      <c r="O23" s="6">
        <v>8</v>
      </c>
      <c r="P23" s="6">
        <f t="shared" si="1"/>
        <v>7.6</v>
      </c>
      <c r="Q23" s="6">
        <v>14</v>
      </c>
      <c r="R23" s="6">
        <v>14</v>
      </c>
      <c r="S23" s="6">
        <v>14</v>
      </c>
      <c r="T23" s="6">
        <v>14</v>
      </c>
      <c r="U23" s="6">
        <v>14</v>
      </c>
      <c r="V23" s="3">
        <f t="shared" si="2"/>
        <v>14</v>
      </c>
      <c r="W23" s="6">
        <v>14</v>
      </c>
      <c r="X23" s="6">
        <v>14</v>
      </c>
      <c r="Y23" s="6">
        <v>14</v>
      </c>
      <c r="Z23" s="6">
        <v>14</v>
      </c>
      <c r="AA23" s="6">
        <v>14</v>
      </c>
      <c r="AB23" s="3">
        <f t="shared" si="3"/>
        <v>14</v>
      </c>
      <c r="AC23" s="6">
        <v>14.5</v>
      </c>
      <c r="AD23" s="6">
        <v>13.9</v>
      </c>
      <c r="AE23" s="6">
        <v>13.3</v>
      </c>
      <c r="AF23" s="6">
        <v>11.8</v>
      </c>
      <c r="AG23" s="6">
        <v>15.8</v>
      </c>
      <c r="AH23" s="3">
        <f t="shared" si="4"/>
        <v>13.86</v>
      </c>
      <c r="AI23" s="7">
        <v>75.959999999999994</v>
      </c>
      <c r="AJ23" s="4">
        <f t="shared" si="5"/>
        <v>562.6661039999999</v>
      </c>
      <c r="AK23" s="5"/>
      <c r="AL23" s="4"/>
    </row>
    <row r="24" spans="1:38" ht="14.4" customHeight="1" x14ac:dyDescent="0.3">
      <c r="A24" s="2">
        <v>22</v>
      </c>
      <c r="B24" s="2" t="s">
        <v>34</v>
      </c>
      <c r="C24" s="6">
        <v>41</v>
      </c>
      <c r="D24" s="15"/>
      <c r="E24" s="6">
        <v>61.9</v>
      </c>
      <c r="F24" s="6">
        <v>65</v>
      </c>
      <c r="G24" s="6">
        <v>67</v>
      </c>
      <c r="H24" s="6">
        <v>66.900000000000006</v>
      </c>
      <c r="I24" s="6">
        <v>63.2</v>
      </c>
      <c r="J24" s="3">
        <f t="shared" si="0"/>
        <v>64.8</v>
      </c>
      <c r="K24" s="6">
        <v>7</v>
      </c>
      <c r="L24" s="6">
        <v>7</v>
      </c>
      <c r="M24" s="6">
        <v>8</v>
      </c>
      <c r="N24" s="6">
        <v>8</v>
      </c>
      <c r="O24" s="6">
        <v>8</v>
      </c>
      <c r="P24" s="6">
        <f t="shared" si="1"/>
        <v>7.6</v>
      </c>
      <c r="Q24" s="6">
        <v>11</v>
      </c>
      <c r="R24" s="6">
        <v>13</v>
      </c>
      <c r="S24" s="6">
        <v>12</v>
      </c>
      <c r="T24" s="6">
        <v>13</v>
      </c>
      <c r="U24" s="6">
        <v>12</v>
      </c>
      <c r="V24" s="3">
        <f t="shared" si="2"/>
        <v>12.2</v>
      </c>
      <c r="W24" s="6">
        <v>13</v>
      </c>
      <c r="X24" s="6">
        <v>12</v>
      </c>
      <c r="Y24" s="6">
        <v>12</v>
      </c>
      <c r="Z24" s="6">
        <v>13</v>
      </c>
      <c r="AA24" s="6">
        <v>13</v>
      </c>
      <c r="AB24" s="3">
        <f t="shared" si="3"/>
        <v>12.6</v>
      </c>
      <c r="AC24" s="6">
        <v>12.3</v>
      </c>
      <c r="AD24" s="6">
        <v>12.5</v>
      </c>
      <c r="AE24" s="6">
        <v>12.5</v>
      </c>
      <c r="AF24" s="6">
        <v>12.7</v>
      </c>
      <c r="AG24" s="6">
        <v>12.5</v>
      </c>
      <c r="AH24" s="3">
        <f t="shared" si="4"/>
        <v>12.5</v>
      </c>
      <c r="AI24" s="7">
        <v>68.739999999999995</v>
      </c>
      <c r="AJ24" s="4">
        <f t="shared" si="5"/>
        <v>509.18467599999991</v>
      </c>
      <c r="AK24" s="5"/>
      <c r="AL24" s="4"/>
    </row>
    <row r="25" spans="1:38" ht="14.4" customHeight="1" x14ac:dyDescent="0.3">
      <c r="A25" s="2">
        <v>23</v>
      </c>
      <c r="B25" s="2" t="s">
        <v>35</v>
      </c>
      <c r="C25" s="3">
        <v>44</v>
      </c>
      <c r="D25" s="14"/>
      <c r="E25" s="3">
        <v>45.7</v>
      </c>
      <c r="F25" s="3">
        <v>41.3</v>
      </c>
      <c r="G25" s="3">
        <v>44.7</v>
      </c>
      <c r="H25" s="3">
        <v>38.6</v>
      </c>
      <c r="I25" s="3">
        <v>40.700000000000003</v>
      </c>
      <c r="J25" s="3">
        <f t="shared" si="0"/>
        <v>42.2</v>
      </c>
      <c r="K25" s="3">
        <v>5</v>
      </c>
      <c r="L25" s="3">
        <v>6</v>
      </c>
      <c r="M25" s="3">
        <v>5</v>
      </c>
      <c r="N25" s="3">
        <v>5</v>
      </c>
      <c r="O25" s="3">
        <v>4</v>
      </c>
      <c r="P25" s="3">
        <f t="shared" si="1"/>
        <v>5</v>
      </c>
      <c r="Q25" s="3">
        <v>12</v>
      </c>
      <c r="R25" s="3">
        <v>11</v>
      </c>
      <c r="S25" s="3">
        <v>15</v>
      </c>
      <c r="T25" s="3">
        <v>10</v>
      </c>
      <c r="U25" s="3">
        <v>11</v>
      </c>
      <c r="V25" s="3">
        <f t="shared" si="2"/>
        <v>11.8</v>
      </c>
      <c r="W25" s="3">
        <v>16</v>
      </c>
      <c r="X25" s="3">
        <v>13</v>
      </c>
      <c r="Y25" s="3">
        <v>14</v>
      </c>
      <c r="Z25" s="3">
        <v>12</v>
      </c>
      <c r="AA25" s="3">
        <v>16</v>
      </c>
      <c r="AB25" s="3">
        <f t="shared" si="3"/>
        <v>14.2</v>
      </c>
      <c r="AC25" s="3">
        <v>12.8</v>
      </c>
      <c r="AD25" s="3">
        <v>14.9</v>
      </c>
      <c r="AE25" s="3">
        <v>13.6</v>
      </c>
      <c r="AF25" s="3">
        <v>12.4</v>
      </c>
      <c r="AG25" s="3">
        <v>11.1</v>
      </c>
      <c r="AH25" s="3">
        <f t="shared" si="4"/>
        <v>12.959999999999999</v>
      </c>
      <c r="AI25" s="11">
        <v>60.4</v>
      </c>
      <c r="AJ25" s="4">
        <f t="shared" si="5"/>
        <v>447.40695999999997</v>
      </c>
      <c r="AK25" s="5"/>
      <c r="AL25" s="4"/>
    </row>
    <row r="26" spans="1:38" ht="14.4" customHeight="1" x14ac:dyDescent="0.3">
      <c r="A26" s="2">
        <v>24</v>
      </c>
      <c r="B26" s="2" t="s">
        <v>36</v>
      </c>
      <c r="C26" s="3">
        <v>40</v>
      </c>
      <c r="D26" s="14"/>
      <c r="E26" s="3">
        <v>52.7</v>
      </c>
      <c r="F26" s="3">
        <v>104.3</v>
      </c>
      <c r="G26" s="3">
        <v>88</v>
      </c>
      <c r="H26" s="3">
        <v>32.5</v>
      </c>
      <c r="I26" s="3">
        <v>45.8</v>
      </c>
      <c r="J26" s="3">
        <f t="shared" si="0"/>
        <v>64.66</v>
      </c>
      <c r="K26" s="3">
        <v>9</v>
      </c>
      <c r="L26" s="3">
        <v>8</v>
      </c>
      <c r="M26" s="3">
        <v>9</v>
      </c>
      <c r="N26" s="3">
        <v>8</v>
      </c>
      <c r="O26" s="3">
        <v>9</v>
      </c>
      <c r="P26" s="3">
        <f t="shared" si="1"/>
        <v>8.6</v>
      </c>
      <c r="Q26" s="3">
        <v>13</v>
      </c>
      <c r="R26" s="3">
        <v>14</v>
      </c>
      <c r="S26" s="3">
        <v>13</v>
      </c>
      <c r="T26" s="3">
        <v>15</v>
      </c>
      <c r="U26" s="3">
        <v>11</v>
      </c>
      <c r="V26" s="3">
        <f t="shared" si="2"/>
        <v>13.2</v>
      </c>
      <c r="W26" s="3">
        <v>16</v>
      </c>
      <c r="X26" s="3">
        <v>13</v>
      </c>
      <c r="Y26" s="3">
        <v>15</v>
      </c>
      <c r="Z26" s="3">
        <v>15</v>
      </c>
      <c r="AA26" s="3">
        <v>12</v>
      </c>
      <c r="AB26" s="3">
        <f t="shared" si="3"/>
        <v>14.2</v>
      </c>
      <c r="AC26" s="3">
        <v>13.7</v>
      </c>
      <c r="AD26" s="3">
        <v>16.100000000000001</v>
      </c>
      <c r="AE26" s="3">
        <v>17.7</v>
      </c>
      <c r="AF26" s="3">
        <v>16.399999999999999</v>
      </c>
      <c r="AG26" s="3">
        <v>13.9</v>
      </c>
      <c r="AH26" s="3">
        <f t="shared" si="4"/>
        <v>15.559999999999999</v>
      </c>
      <c r="AI26" s="11">
        <v>59</v>
      </c>
      <c r="AJ26" s="4">
        <f t="shared" si="5"/>
        <v>437.03659999999996</v>
      </c>
      <c r="AK26" s="8"/>
      <c r="AL26" s="4"/>
    </row>
    <row r="27" spans="1:38" ht="14.4" customHeight="1" x14ac:dyDescent="0.3">
      <c r="A27" s="2">
        <v>25</v>
      </c>
      <c r="B27" s="2" t="s">
        <v>37</v>
      </c>
      <c r="C27" s="3">
        <v>47</v>
      </c>
      <c r="D27" s="14"/>
      <c r="E27" s="3">
        <v>100.1</v>
      </c>
      <c r="F27" s="3">
        <v>95.7</v>
      </c>
      <c r="G27" s="3">
        <v>111.4</v>
      </c>
      <c r="H27" s="3">
        <v>90.6</v>
      </c>
      <c r="I27" s="3">
        <v>97.6</v>
      </c>
      <c r="J27" s="3">
        <f t="shared" si="0"/>
        <v>99.080000000000013</v>
      </c>
      <c r="K27" s="3">
        <v>5</v>
      </c>
      <c r="L27" s="3">
        <v>5</v>
      </c>
      <c r="M27" s="3">
        <v>5</v>
      </c>
      <c r="N27" s="3">
        <v>7</v>
      </c>
      <c r="O27" s="3">
        <v>5</v>
      </c>
      <c r="P27" s="3">
        <f t="shared" si="1"/>
        <v>5.4</v>
      </c>
      <c r="Q27" s="3">
        <v>12</v>
      </c>
      <c r="R27" s="3">
        <v>14</v>
      </c>
      <c r="S27" s="3">
        <v>10</v>
      </c>
      <c r="T27" s="3">
        <v>13</v>
      </c>
      <c r="U27" s="3">
        <v>11</v>
      </c>
      <c r="V27" s="3">
        <f t="shared" si="2"/>
        <v>12</v>
      </c>
      <c r="W27" s="3">
        <v>15</v>
      </c>
      <c r="X27" s="3">
        <v>14</v>
      </c>
      <c r="Y27" s="3">
        <v>15</v>
      </c>
      <c r="Z27" s="3">
        <v>14</v>
      </c>
      <c r="AA27" s="3">
        <v>12</v>
      </c>
      <c r="AB27" s="3">
        <f t="shared" si="3"/>
        <v>14</v>
      </c>
      <c r="AC27" s="3">
        <v>10.5</v>
      </c>
      <c r="AD27" s="3">
        <v>12.6</v>
      </c>
      <c r="AE27" s="3">
        <v>12</v>
      </c>
      <c r="AF27" s="3">
        <v>13</v>
      </c>
      <c r="AG27" s="3">
        <v>14.8</v>
      </c>
      <c r="AH27" s="3">
        <f t="shared" si="4"/>
        <v>12.580000000000002</v>
      </c>
      <c r="AI27" s="11">
        <v>56.4</v>
      </c>
      <c r="AJ27" s="4">
        <f t="shared" si="5"/>
        <v>417.77735999999999</v>
      </c>
      <c r="AK27" s="5"/>
      <c r="AL27" s="4"/>
    </row>
    <row r="28" spans="1:38" ht="14.4" customHeight="1" x14ac:dyDescent="0.3">
      <c r="A28" s="2">
        <v>26</v>
      </c>
      <c r="B28" s="2" t="s">
        <v>38</v>
      </c>
      <c r="C28" s="3">
        <v>47</v>
      </c>
      <c r="D28" s="14"/>
      <c r="E28" s="3">
        <v>64.8</v>
      </c>
      <c r="F28" s="3">
        <v>68</v>
      </c>
      <c r="G28" s="3">
        <v>66.7</v>
      </c>
      <c r="H28" s="3">
        <v>72.400000000000006</v>
      </c>
      <c r="I28" s="3">
        <v>69.2</v>
      </c>
      <c r="J28" s="3">
        <f t="shared" si="0"/>
        <v>68.22</v>
      </c>
      <c r="K28" s="3">
        <v>11</v>
      </c>
      <c r="L28" s="3">
        <v>11</v>
      </c>
      <c r="M28" s="3">
        <v>9</v>
      </c>
      <c r="N28" s="3">
        <v>9</v>
      </c>
      <c r="O28" s="3">
        <v>9</v>
      </c>
      <c r="P28" s="3">
        <f t="shared" si="1"/>
        <v>9.8000000000000007</v>
      </c>
      <c r="Q28" s="3">
        <v>20</v>
      </c>
      <c r="R28" s="3">
        <v>15</v>
      </c>
      <c r="S28" s="3">
        <v>11</v>
      </c>
      <c r="T28" s="3">
        <v>10</v>
      </c>
      <c r="U28" s="3">
        <v>12</v>
      </c>
      <c r="V28" s="3">
        <f t="shared" si="2"/>
        <v>13.6</v>
      </c>
      <c r="W28" s="3">
        <v>15</v>
      </c>
      <c r="X28" s="3">
        <v>14</v>
      </c>
      <c r="Y28" s="3">
        <v>18</v>
      </c>
      <c r="Z28" s="3">
        <v>17</v>
      </c>
      <c r="AA28" s="3">
        <v>17</v>
      </c>
      <c r="AB28" s="3">
        <f t="shared" si="3"/>
        <v>16.2</v>
      </c>
      <c r="AC28" s="3">
        <v>16.899999999999999</v>
      </c>
      <c r="AD28" s="3">
        <v>16.600000000000001</v>
      </c>
      <c r="AE28" s="3">
        <v>12.7</v>
      </c>
      <c r="AF28" s="3">
        <v>10.4</v>
      </c>
      <c r="AG28" s="3">
        <v>11.8</v>
      </c>
      <c r="AH28" s="3">
        <f t="shared" si="4"/>
        <v>13.680000000000001</v>
      </c>
      <c r="AI28" s="11">
        <v>102.3</v>
      </c>
      <c r="AJ28" s="4">
        <f t="shared" si="5"/>
        <v>757.77701999999988</v>
      </c>
      <c r="AK28" s="5"/>
      <c r="AL28" s="4"/>
    </row>
    <row r="29" spans="1:38" ht="14.4" customHeight="1" x14ac:dyDescent="0.3">
      <c r="A29" s="2">
        <v>27</v>
      </c>
      <c r="B29" s="2" t="s">
        <v>39</v>
      </c>
      <c r="C29" s="3">
        <v>43</v>
      </c>
      <c r="D29" s="14"/>
      <c r="E29" s="3">
        <v>78</v>
      </c>
      <c r="F29" s="3">
        <v>88.1</v>
      </c>
      <c r="G29" s="3">
        <v>32</v>
      </c>
      <c r="H29" s="3">
        <v>46.9</v>
      </c>
      <c r="I29" s="3">
        <v>65.5</v>
      </c>
      <c r="J29" s="3">
        <f t="shared" si="0"/>
        <v>62.1</v>
      </c>
      <c r="K29" s="3">
        <v>4</v>
      </c>
      <c r="L29" s="3">
        <v>5</v>
      </c>
      <c r="M29" s="3">
        <v>6</v>
      </c>
      <c r="N29" s="3">
        <v>4</v>
      </c>
      <c r="O29" s="3">
        <v>4</v>
      </c>
      <c r="P29" s="3">
        <f t="shared" si="1"/>
        <v>4.5999999999999996</v>
      </c>
      <c r="Q29" s="3">
        <v>11</v>
      </c>
      <c r="R29" s="3">
        <v>10</v>
      </c>
      <c r="S29" s="3">
        <v>11</v>
      </c>
      <c r="T29" s="3">
        <v>12</v>
      </c>
      <c r="U29" s="3">
        <v>11</v>
      </c>
      <c r="V29" s="3">
        <f t="shared" si="2"/>
        <v>11</v>
      </c>
      <c r="W29" s="3">
        <v>14</v>
      </c>
      <c r="X29" s="3">
        <v>12</v>
      </c>
      <c r="Y29" s="3">
        <v>16</v>
      </c>
      <c r="Z29" s="3">
        <v>17</v>
      </c>
      <c r="AA29" s="3">
        <v>12</v>
      </c>
      <c r="AB29" s="3">
        <f t="shared" si="3"/>
        <v>14.2</v>
      </c>
      <c r="AC29" s="3">
        <v>16.2</v>
      </c>
      <c r="AD29" s="3">
        <v>16.7</v>
      </c>
      <c r="AE29" s="3">
        <v>15</v>
      </c>
      <c r="AF29" s="3">
        <v>16.5</v>
      </c>
      <c r="AG29" s="3">
        <v>13.3</v>
      </c>
      <c r="AH29" s="3">
        <f t="shared" si="4"/>
        <v>15.540000000000001</v>
      </c>
      <c r="AI29" s="11">
        <v>56.2</v>
      </c>
      <c r="AJ29" s="4">
        <f t="shared" si="5"/>
        <v>416.29588000000001</v>
      </c>
      <c r="AK29" s="5"/>
      <c r="AL29" s="4"/>
    </row>
    <row r="30" spans="1:38" ht="14.4" customHeight="1" x14ac:dyDescent="0.3">
      <c r="A30" s="2">
        <v>28</v>
      </c>
      <c r="B30" s="2" t="s">
        <v>40</v>
      </c>
      <c r="C30" s="3">
        <v>43</v>
      </c>
      <c r="D30" s="14"/>
      <c r="E30" s="3">
        <v>41.9</v>
      </c>
      <c r="F30" s="3">
        <v>52.5</v>
      </c>
      <c r="G30" s="3">
        <v>69.2</v>
      </c>
      <c r="H30" s="3">
        <v>70.7</v>
      </c>
      <c r="I30" s="3">
        <v>98.1</v>
      </c>
      <c r="J30" s="3">
        <f t="shared" si="0"/>
        <v>66.47999999999999</v>
      </c>
      <c r="K30" s="3">
        <v>9</v>
      </c>
      <c r="L30" s="3">
        <v>10</v>
      </c>
      <c r="M30" s="3">
        <v>9</v>
      </c>
      <c r="N30" s="3">
        <v>9</v>
      </c>
      <c r="O30" s="3">
        <v>8</v>
      </c>
      <c r="P30" s="3">
        <f t="shared" si="1"/>
        <v>9</v>
      </c>
      <c r="Q30" s="3">
        <v>14</v>
      </c>
      <c r="R30" s="3">
        <v>13</v>
      </c>
      <c r="S30" s="3">
        <v>14</v>
      </c>
      <c r="T30" s="3">
        <v>15</v>
      </c>
      <c r="U30" s="3">
        <v>11</v>
      </c>
      <c r="V30" s="3">
        <f t="shared" si="2"/>
        <v>13.4</v>
      </c>
      <c r="W30" s="3">
        <v>14</v>
      </c>
      <c r="X30" s="3">
        <v>12</v>
      </c>
      <c r="Y30" s="3">
        <v>15</v>
      </c>
      <c r="Z30" s="3">
        <v>16</v>
      </c>
      <c r="AA30" s="3">
        <v>12</v>
      </c>
      <c r="AB30" s="3">
        <f t="shared" si="3"/>
        <v>13.8</v>
      </c>
      <c r="AC30" s="3">
        <v>16.600000000000001</v>
      </c>
      <c r="AD30" s="3">
        <v>18.600000000000001</v>
      </c>
      <c r="AE30" s="3">
        <v>15.6</v>
      </c>
      <c r="AF30" s="3">
        <v>12.4</v>
      </c>
      <c r="AG30" s="3">
        <v>14.4</v>
      </c>
      <c r="AH30" s="3">
        <f t="shared" si="4"/>
        <v>15.520000000000001</v>
      </c>
      <c r="AI30" s="11">
        <v>57.4</v>
      </c>
      <c r="AJ30" s="4">
        <f t="shared" si="5"/>
        <v>425.18475999999993</v>
      </c>
      <c r="AK30" s="5"/>
      <c r="AL30" s="4"/>
    </row>
    <row r="31" spans="1:38" ht="14.4" customHeight="1" x14ac:dyDescent="0.3">
      <c r="A31" s="2">
        <v>29</v>
      </c>
      <c r="B31" s="2" t="s">
        <v>41</v>
      </c>
      <c r="C31" s="3">
        <v>43</v>
      </c>
      <c r="D31" s="14"/>
      <c r="E31" s="3">
        <v>55.3</v>
      </c>
      <c r="F31" s="3">
        <v>40.700000000000003</v>
      </c>
      <c r="G31" s="3">
        <v>32.799999999999997</v>
      </c>
      <c r="H31" s="3">
        <v>45.3</v>
      </c>
      <c r="I31" s="3">
        <v>41.1</v>
      </c>
      <c r="J31" s="3">
        <f t="shared" si="0"/>
        <v>43.040000000000006</v>
      </c>
      <c r="K31" s="3">
        <v>5</v>
      </c>
      <c r="L31" s="3">
        <v>6</v>
      </c>
      <c r="M31" s="3">
        <v>5</v>
      </c>
      <c r="N31" s="3">
        <v>6</v>
      </c>
      <c r="O31" s="3">
        <v>6</v>
      </c>
      <c r="P31" s="3">
        <f t="shared" si="1"/>
        <v>5.6</v>
      </c>
      <c r="Q31" s="3">
        <v>14</v>
      </c>
      <c r="R31" s="3">
        <v>12</v>
      </c>
      <c r="S31" s="3">
        <v>10</v>
      </c>
      <c r="T31" s="3">
        <v>13</v>
      </c>
      <c r="U31" s="3">
        <v>11</v>
      </c>
      <c r="V31" s="3">
        <f t="shared" si="2"/>
        <v>12</v>
      </c>
      <c r="W31" s="3">
        <v>14</v>
      </c>
      <c r="X31" s="3">
        <v>15</v>
      </c>
      <c r="Y31" s="3">
        <v>13</v>
      </c>
      <c r="Z31" s="3">
        <v>16</v>
      </c>
      <c r="AA31" s="3">
        <v>14</v>
      </c>
      <c r="AB31" s="3">
        <f t="shared" si="3"/>
        <v>14.4</v>
      </c>
      <c r="AC31" s="3">
        <v>12</v>
      </c>
      <c r="AD31" s="3">
        <v>14.5</v>
      </c>
      <c r="AE31" s="3">
        <v>13</v>
      </c>
      <c r="AF31" s="3">
        <v>12.5</v>
      </c>
      <c r="AG31" s="3">
        <v>12.2</v>
      </c>
      <c r="AH31" s="3">
        <f t="shared" si="4"/>
        <v>12.84</v>
      </c>
      <c r="AI31" s="11">
        <v>56</v>
      </c>
      <c r="AJ31" s="4">
        <f t="shared" si="5"/>
        <v>414.81439999999998</v>
      </c>
      <c r="AK31" s="5"/>
      <c r="AL31" s="4"/>
    </row>
    <row r="32" spans="1:38" ht="14.4" customHeight="1" x14ac:dyDescent="0.3">
      <c r="A32" s="2">
        <v>30</v>
      </c>
      <c r="B32" s="2" t="s">
        <v>42</v>
      </c>
      <c r="C32" s="3">
        <v>40</v>
      </c>
      <c r="D32" s="14"/>
      <c r="E32" s="3">
        <v>93.3</v>
      </c>
      <c r="F32" s="3">
        <v>65.8</v>
      </c>
      <c r="G32" s="3">
        <v>75.7</v>
      </c>
      <c r="H32" s="3">
        <v>42.8</v>
      </c>
      <c r="I32" s="3">
        <v>56.3</v>
      </c>
      <c r="J32" s="3">
        <f t="shared" si="0"/>
        <v>66.78</v>
      </c>
      <c r="K32" s="3">
        <v>5</v>
      </c>
      <c r="L32" s="3">
        <v>5</v>
      </c>
      <c r="M32" s="3">
        <v>5</v>
      </c>
      <c r="N32" s="3">
        <v>6</v>
      </c>
      <c r="O32" s="3">
        <v>6</v>
      </c>
      <c r="P32" s="3">
        <f t="shared" si="1"/>
        <v>5.4</v>
      </c>
      <c r="Q32" s="3">
        <v>12</v>
      </c>
      <c r="R32" s="3">
        <v>11</v>
      </c>
      <c r="S32" s="3">
        <v>13</v>
      </c>
      <c r="T32" s="3">
        <v>12</v>
      </c>
      <c r="U32" s="3">
        <v>12</v>
      </c>
      <c r="V32" s="3">
        <f t="shared" si="2"/>
        <v>12</v>
      </c>
      <c r="W32" s="3">
        <v>13</v>
      </c>
      <c r="X32" s="3">
        <v>14</v>
      </c>
      <c r="Y32" s="3">
        <v>14</v>
      </c>
      <c r="Z32" s="3">
        <v>13</v>
      </c>
      <c r="AA32" s="3">
        <v>13</v>
      </c>
      <c r="AB32" s="3">
        <f t="shared" si="3"/>
        <v>13.4</v>
      </c>
      <c r="AC32" s="3">
        <v>12.9</v>
      </c>
      <c r="AD32" s="3">
        <v>12</v>
      </c>
      <c r="AE32" s="3">
        <v>10.8</v>
      </c>
      <c r="AF32" s="3">
        <v>10.6</v>
      </c>
      <c r="AG32" s="3">
        <v>15.8</v>
      </c>
      <c r="AH32" s="3">
        <f t="shared" si="4"/>
        <v>12.420000000000002</v>
      </c>
      <c r="AI32" s="11">
        <v>53.6</v>
      </c>
      <c r="AJ32" s="4">
        <f t="shared" si="5"/>
        <v>397.03664000000003</v>
      </c>
      <c r="AK32" s="5"/>
      <c r="AL32" s="4"/>
    </row>
    <row r="33" spans="1:38" ht="14.4" customHeight="1" x14ac:dyDescent="0.3">
      <c r="A33" s="2">
        <v>31</v>
      </c>
      <c r="B33" s="2" t="s">
        <v>43</v>
      </c>
      <c r="C33" s="3">
        <v>40</v>
      </c>
      <c r="D33" s="14"/>
      <c r="E33" s="3">
        <v>40.9</v>
      </c>
      <c r="F33" s="3">
        <v>30.4</v>
      </c>
      <c r="G33" s="3">
        <v>49.4</v>
      </c>
      <c r="H33" s="3">
        <v>40.9</v>
      </c>
      <c r="I33" s="3">
        <v>68.5</v>
      </c>
      <c r="J33" s="3">
        <f t="shared" si="0"/>
        <v>46.019999999999996</v>
      </c>
      <c r="K33" s="3">
        <v>6</v>
      </c>
      <c r="L33" s="3">
        <v>5</v>
      </c>
      <c r="M33" s="3">
        <v>4</v>
      </c>
      <c r="N33" s="3">
        <v>3</v>
      </c>
      <c r="O33" s="3">
        <v>6</v>
      </c>
      <c r="P33" s="3">
        <f t="shared" si="1"/>
        <v>4.8</v>
      </c>
      <c r="Q33" s="3">
        <v>11</v>
      </c>
      <c r="R33" s="3">
        <v>11</v>
      </c>
      <c r="S33" s="3">
        <v>12</v>
      </c>
      <c r="T33" s="3">
        <v>11</v>
      </c>
      <c r="U33" s="3">
        <v>13</v>
      </c>
      <c r="V33" s="3">
        <f t="shared" si="2"/>
        <v>11.6</v>
      </c>
      <c r="W33" s="3">
        <v>18</v>
      </c>
      <c r="X33" s="3">
        <v>16</v>
      </c>
      <c r="Y33" s="3">
        <v>15</v>
      </c>
      <c r="Z33" s="3">
        <v>15</v>
      </c>
      <c r="AA33" s="3">
        <v>13</v>
      </c>
      <c r="AB33" s="3">
        <f t="shared" si="3"/>
        <v>15.4</v>
      </c>
      <c r="AC33" s="3">
        <v>19.899999999999999</v>
      </c>
      <c r="AD33" s="3">
        <v>14</v>
      </c>
      <c r="AE33" s="3">
        <v>15</v>
      </c>
      <c r="AF33" s="3">
        <v>13.1</v>
      </c>
      <c r="AG33" s="3">
        <v>20.100000000000001</v>
      </c>
      <c r="AH33" s="3">
        <f t="shared" si="4"/>
        <v>16.419999999999998</v>
      </c>
      <c r="AI33" s="11">
        <v>82.82</v>
      </c>
      <c r="AJ33" s="4">
        <f t="shared" si="5"/>
        <v>613.48086799999987</v>
      </c>
      <c r="AK33" s="5"/>
      <c r="AL33" s="4"/>
    </row>
    <row r="34" spans="1:38" ht="14.4" customHeight="1" x14ac:dyDescent="0.3">
      <c r="A34" s="2">
        <v>32</v>
      </c>
      <c r="B34" s="2" t="s">
        <v>44</v>
      </c>
      <c r="C34" s="3">
        <v>43</v>
      </c>
      <c r="D34" s="14"/>
      <c r="E34" s="3">
        <v>66.8</v>
      </c>
      <c r="F34" s="3">
        <v>53.7</v>
      </c>
      <c r="G34" s="3">
        <v>95</v>
      </c>
      <c r="H34" s="3">
        <v>86.5</v>
      </c>
      <c r="I34" s="3">
        <v>78.8</v>
      </c>
      <c r="J34" s="3">
        <f t="shared" si="0"/>
        <v>76.16</v>
      </c>
      <c r="K34" s="3">
        <v>7</v>
      </c>
      <c r="L34" s="3">
        <v>6</v>
      </c>
      <c r="M34" s="3">
        <v>7</v>
      </c>
      <c r="N34" s="3">
        <v>7</v>
      </c>
      <c r="O34" s="3">
        <v>5</v>
      </c>
      <c r="P34" s="3">
        <f t="shared" si="1"/>
        <v>6.4</v>
      </c>
      <c r="Q34" s="3">
        <v>11</v>
      </c>
      <c r="R34" s="3">
        <v>12</v>
      </c>
      <c r="S34" s="3">
        <v>11</v>
      </c>
      <c r="T34" s="3">
        <v>13</v>
      </c>
      <c r="U34" s="3">
        <v>14</v>
      </c>
      <c r="V34" s="3">
        <f t="shared" si="2"/>
        <v>12.2</v>
      </c>
      <c r="W34" s="3">
        <v>18</v>
      </c>
      <c r="X34" s="3">
        <v>18</v>
      </c>
      <c r="Y34" s="3">
        <v>19</v>
      </c>
      <c r="Z34" s="3">
        <v>17</v>
      </c>
      <c r="AA34" s="3">
        <v>17</v>
      </c>
      <c r="AB34" s="3">
        <f t="shared" si="3"/>
        <v>17.8</v>
      </c>
      <c r="AC34" s="3">
        <v>20.5</v>
      </c>
      <c r="AD34" s="3">
        <v>12.8</v>
      </c>
      <c r="AE34" s="3">
        <v>13.2</v>
      </c>
      <c r="AF34" s="3">
        <v>12.3</v>
      </c>
      <c r="AG34" s="3">
        <v>11.3</v>
      </c>
      <c r="AH34" s="3">
        <f t="shared" si="4"/>
        <v>14.02</v>
      </c>
      <c r="AI34" s="11">
        <v>187.37</v>
      </c>
      <c r="AJ34" s="4">
        <f t="shared" si="5"/>
        <v>1387.924538</v>
      </c>
      <c r="AK34" s="5"/>
      <c r="AL34" s="4"/>
    </row>
    <row r="35" spans="1:38" ht="14.4" customHeight="1" x14ac:dyDescent="0.3">
      <c r="A35" s="2">
        <v>33</v>
      </c>
      <c r="B35" s="2" t="s">
        <v>45</v>
      </c>
      <c r="C35" s="3">
        <v>43</v>
      </c>
      <c r="D35" s="14"/>
      <c r="E35" s="3">
        <v>48.5</v>
      </c>
      <c r="F35" s="3">
        <v>66.3</v>
      </c>
      <c r="G35" s="3">
        <v>45</v>
      </c>
      <c r="H35" s="3">
        <v>49.6</v>
      </c>
      <c r="I35" s="3">
        <v>32.200000000000003</v>
      </c>
      <c r="J35" s="3">
        <f t="shared" ref="J35:J66" si="6">AVERAGE(E35:I35)</f>
        <v>48.320000000000007</v>
      </c>
      <c r="K35" s="3">
        <v>6</v>
      </c>
      <c r="L35" s="3">
        <v>6</v>
      </c>
      <c r="M35" s="3">
        <v>5</v>
      </c>
      <c r="N35" s="3">
        <v>5</v>
      </c>
      <c r="O35" s="3">
        <v>5</v>
      </c>
      <c r="P35" s="3">
        <f t="shared" ref="P35:P66" si="7">AVERAGE(K35:O35)</f>
        <v>5.4</v>
      </c>
      <c r="Q35" s="3">
        <v>11</v>
      </c>
      <c r="R35" s="3">
        <v>11</v>
      </c>
      <c r="S35" s="3">
        <v>10</v>
      </c>
      <c r="T35" s="3">
        <v>14</v>
      </c>
      <c r="U35" s="3">
        <v>13</v>
      </c>
      <c r="V35" s="3">
        <f t="shared" ref="V35:V66" si="8">AVERAGE(Q35:U35)</f>
        <v>11.8</v>
      </c>
      <c r="W35" s="3">
        <v>12</v>
      </c>
      <c r="X35" s="3">
        <v>15</v>
      </c>
      <c r="Y35" s="3">
        <v>12</v>
      </c>
      <c r="Z35" s="3">
        <v>16</v>
      </c>
      <c r="AA35" s="3">
        <v>17</v>
      </c>
      <c r="AB35" s="3">
        <f t="shared" ref="AB35:AB66" si="9">AVERAGE(W35:AA35)</f>
        <v>14.4</v>
      </c>
      <c r="AC35" s="3">
        <v>14.3</v>
      </c>
      <c r="AD35" s="3">
        <v>11.5</v>
      </c>
      <c r="AE35" s="3">
        <v>16.899999999999999</v>
      </c>
      <c r="AF35" s="3">
        <v>12.2</v>
      </c>
      <c r="AG35" s="3">
        <v>10.6</v>
      </c>
      <c r="AH35" s="3">
        <f t="shared" ref="AH35:AH66" si="10">AVERAGE(AC35:AG35)</f>
        <v>13.1</v>
      </c>
      <c r="AI35" s="11">
        <v>60.2</v>
      </c>
      <c r="AJ35" s="4">
        <f t="shared" ref="AJ35:AJ66" si="11">AI35*7407.4/1000</f>
        <v>445.92547999999999</v>
      </c>
      <c r="AK35" s="5"/>
      <c r="AL35" s="4"/>
    </row>
    <row r="36" spans="1:38" ht="14.4" customHeight="1" x14ac:dyDescent="0.3">
      <c r="A36" s="2">
        <v>34</v>
      </c>
      <c r="B36" s="2" t="s">
        <v>46</v>
      </c>
      <c r="C36" s="3">
        <v>40</v>
      </c>
      <c r="D36" s="14"/>
      <c r="E36" s="3">
        <v>31.5</v>
      </c>
      <c r="F36" s="3">
        <v>30.4</v>
      </c>
      <c r="G36" s="3">
        <v>66.599999999999994</v>
      </c>
      <c r="H36" s="3">
        <v>73.3</v>
      </c>
      <c r="I36" s="3">
        <v>45</v>
      </c>
      <c r="J36" s="3">
        <f t="shared" si="6"/>
        <v>49.36</v>
      </c>
      <c r="K36" s="3">
        <v>5</v>
      </c>
      <c r="L36" s="3">
        <v>6</v>
      </c>
      <c r="M36" s="3">
        <v>4</v>
      </c>
      <c r="N36" s="3">
        <v>7</v>
      </c>
      <c r="O36" s="3">
        <v>6</v>
      </c>
      <c r="P36" s="3">
        <f t="shared" si="7"/>
        <v>5.6</v>
      </c>
      <c r="Q36" s="3">
        <v>11</v>
      </c>
      <c r="R36" s="3">
        <v>12</v>
      </c>
      <c r="S36" s="3">
        <v>11</v>
      </c>
      <c r="T36" s="3">
        <v>14</v>
      </c>
      <c r="U36" s="3">
        <v>12</v>
      </c>
      <c r="V36" s="3">
        <f t="shared" si="8"/>
        <v>12</v>
      </c>
      <c r="W36" s="3">
        <v>14</v>
      </c>
      <c r="X36" s="3">
        <v>15</v>
      </c>
      <c r="Y36" s="3">
        <v>16</v>
      </c>
      <c r="Z36" s="3">
        <v>15</v>
      </c>
      <c r="AA36" s="3">
        <v>14</v>
      </c>
      <c r="AB36" s="3">
        <f t="shared" si="9"/>
        <v>14.8</v>
      </c>
      <c r="AC36" s="3">
        <v>16.8</v>
      </c>
      <c r="AD36" s="3">
        <v>16.600000000000001</v>
      </c>
      <c r="AE36" s="3">
        <v>19.8</v>
      </c>
      <c r="AF36" s="3">
        <v>15.7</v>
      </c>
      <c r="AG36" s="3">
        <v>15</v>
      </c>
      <c r="AH36" s="3">
        <f t="shared" si="10"/>
        <v>16.78</v>
      </c>
      <c r="AI36" s="11">
        <v>109.2</v>
      </c>
      <c r="AJ36" s="4">
        <f t="shared" si="11"/>
        <v>808.88807999999995</v>
      </c>
      <c r="AK36" s="8"/>
      <c r="AL36" s="9"/>
    </row>
    <row r="37" spans="1:38" ht="14.4" customHeight="1" x14ac:dyDescent="0.3">
      <c r="A37" s="2">
        <v>35</v>
      </c>
      <c r="B37" s="2" t="s">
        <v>47</v>
      </c>
      <c r="C37" s="3">
        <v>40</v>
      </c>
      <c r="D37" s="14"/>
      <c r="E37" s="3">
        <v>65.8</v>
      </c>
      <c r="F37" s="3">
        <v>92.3</v>
      </c>
      <c r="G37" s="3">
        <v>41.9</v>
      </c>
      <c r="H37" s="3">
        <v>50.2</v>
      </c>
      <c r="I37" s="3">
        <v>90.9</v>
      </c>
      <c r="J37" s="3">
        <f t="shared" si="6"/>
        <v>68.22</v>
      </c>
      <c r="K37" s="3">
        <v>4</v>
      </c>
      <c r="L37" s="3">
        <v>5</v>
      </c>
      <c r="M37" s="3">
        <v>5</v>
      </c>
      <c r="N37" s="3">
        <v>4</v>
      </c>
      <c r="O37" s="3">
        <v>3</v>
      </c>
      <c r="P37" s="3">
        <f t="shared" si="7"/>
        <v>4.2</v>
      </c>
      <c r="Q37" s="3">
        <v>11</v>
      </c>
      <c r="R37" s="3">
        <v>11</v>
      </c>
      <c r="S37" s="3">
        <v>10</v>
      </c>
      <c r="T37" s="3">
        <v>13</v>
      </c>
      <c r="U37" s="3">
        <v>10</v>
      </c>
      <c r="V37" s="3">
        <f t="shared" si="8"/>
        <v>11</v>
      </c>
      <c r="W37" s="3">
        <v>20</v>
      </c>
      <c r="X37" s="3">
        <v>17</v>
      </c>
      <c r="Y37" s="3">
        <v>18</v>
      </c>
      <c r="Z37" s="3">
        <v>18</v>
      </c>
      <c r="AA37" s="3">
        <v>19</v>
      </c>
      <c r="AB37" s="3">
        <f t="shared" si="9"/>
        <v>18.399999999999999</v>
      </c>
      <c r="AC37" s="3">
        <v>15.3</v>
      </c>
      <c r="AD37" s="3">
        <v>11.5</v>
      </c>
      <c r="AE37" s="3">
        <v>16</v>
      </c>
      <c r="AF37" s="3">
        <v>10</v>
      </c>
      <c r="AG37" s="3">
        <v>16.100000000000001</v>
      </c>
      <c r="AH37" s="3">
        <f t="shared" si="10"/>
        <v>13.780000000000001</v>
      </c>
      <c r="AI37" s="11">
        <v>146.88999999999999</v>
      </c>
      <c r="AJ37" s="4">
        <f t="shared" si="11"/>
        <v>1088.0729859999999</v>
      </c>
      <c r="AK37" s="8"/>
      <c r="AL37" s="4"/>
    </row>
    <row r="38" spans="1:38" ht="14.4" customHeight="1" x14ac:dyDescent="0.3">
      <c r="A38" s="2">
        <v>36</v>
      </c>
      <c r="B38" s="2" t="s">
        <v>48</v>
      </c>
      <c r="C38" s="3">
        <v>62</v>
      </c>
      <c r="D38" s="14"/>
      <c r="E38" s="3">
        <v>44.9</v>
      </c>
      <c r="F38" s="3">
        <v>55</v>
      </c>
      <c r="G38" s="3">
        <v>90.6</v>
      </c>
      <c r="H38" s="3">
        <v>49.3</v>
      </c>
      <c r="I38" s="3">
        <v>65.8</v>
      </c>
      <c r="J38" s="3">
        <f t="shared" si="6"/>
        <v>61.120000000000005</v>
      </c>
      <c r="K38" s="3">
        <v>4</v>
      </c>
      <c r="L38" s="3">
        <v>7</v>
      </c>
      <c r="M38" s="3">
        <v>5</v>
      </c>
      <c r="N38" s="3">
        <v>5</v>
      </c>
      <c r="O38" s="3">
        <v>6</v>
      </c>
      <c r="P38" s="3">
        <f t="shared" si="7"/>
        <v>5.4</v>
      </c>
      <c r="Q38" s="3">
        <v>11</v>
      </c>
      <c r="R38" s="3">
        <v>13</v>
      </c>
      <c r="S38" s="3">
        <v>12</v>
      </c>
      <c r="T38" s="3">
        <v>11</v>
      </c>
      <c r="U38" s="3">
        <v>12</v>
      </c>
      <c r="V38" s="3">
        <f t="shared" si="8"/>
        <v>11.8</v>
      </c>
      <c r="W38" s="3">
        <v>14</v>
      </c>
      <c r="X38" s="3">
        <v>13</v>
      </c>
      <c r="Y38" s="3">
        <v>15</v>
      </c>
      <c r="Z38" s="3">
        <v>15</v>
      </c>
      <c r="AA38" s="3">
        <v>16</v>
      </c>
      <c r="AB38" s="3">
        <f t="shared" si="9"/>
        <v>14.6</v>
      </c>
      <c r="AC38" s="3">
        <v>12.4</v>
      </c>
      <c r="AD38" s="3">
        <v>13.4</v>
      </c>
      <c r="AE38" s="3">
        <v>12.7</v>
      </c>
      <c r="AF38" s="3">
        <v>15.5</v>
      </c>
      <c r="AG38" s="3">
        <v>13.8</v>
      </c>
      <c r="AH38" s="3">
        <f t="shared" si="10"/>
        <v>13.559999999999999</v>
      </c>
      <c r="AI38" s="11">
        <v>91.27</v>
      </c>
      <c r="AJ38" s="4">
        <f t="shared" si="11"/>
        <v>676.07339799999988</v>
      </c>
      <c r="AK38" s="5"/>
      <c r="AL38" s="4"/>
    </row>
    <row r="39" spans="1:38" ht="14.4" customHeight="1" x14ac:dyDescent="0.3">
      <c r="A39" s="2">
        <v>37</v>
      </c>
      <c r="B39" s="2" t="s">
        <v>49</v>
      </c>
      <c r="C39" s="3">
        <v>60</v>
      </c>
      <c r="D39" s="14"/>
      <c r="E39" s="3">
        <v>35.6</v>
      </c>
      <c r="F39" s="3">
        <v>32.9</v>
      </c>
      <c r="G39" s="3">
        <v>30.1</v>
      </c>
      <c r="H39" s="3">
        <v>38.5</v>
      </c>
      <c r="I39" s="3">
        <v>45.7</v>
      </c>
      <c r="J39" s="3">
        <f t="shared" si="6"/>
        <v>36.56</v>
      </c>
      <c r="K39" s="3">
        <v>8</v>
      </c>
      <c r="L39" s="2">
        <v>9</v>
      </c>
      <c r="M39" s="2">
        <v>7</v>
      </c>
      <c r="N39" s="2">
        <v>9</v>
      </c>
      <c r="O39" s="2">
        <v>6</v>
      </c>
      <c r="P39" s="3">
        <f t="shared" si="7"/>
        <v>7.8</v>
      </c>
      <c r="Q39" s="3">
        <v>11</v>
      </c>
      <c r="R39" s="3">
        <v>13</v>
      </c>
      <c r="S39" s="3">
        <v>14</v>
      </c>
      <c r="T39" s="3">
        <v>15</v>
      </c>
      <c r="U39" s="3">
        <v>12</v>
      </c>
      <c r="V39" s="3">
        <f t="shared" si="8"/>
        <v>13</v>
      </c>
      <c r="W39" s="3">
        <v>16</v>
      </c>
      <c r="X39" s="3">
        <v>16</v>
      </c>
      <c r="Y39" s="3">
        <v>19</v>
      </c>
      <c r="Z39" s="3">
        <v>14</v>
      </c>
      <c r="AA39" s="3">
        <v>15</v>
      </c>
      <c r="AB39" s="3">
        <f t="shared" si="9"/>
        <v>16</v>
      </c>
      <c r="AC39" s="3">
        <v>13</v>
      </c>
      <c r="AD39" s="3">
        <v>12.5</v>
      </c>
      <c r="AE39" s="3">
        <v>16</v>
      </c>
      <c r="AF39" s="3">
        <v>11.1</v>
      </c>
      <c r="AG39" s="3">
        <v>13.8</v>
      </c>
      <c r="AH39" s="3">
        <f t="shared" si="10"/>
        <v>13.280000000000001</v>
      </c>
      <c r="AI39" s="11">
        <v>97.88</v>
      </c>
      <c r="AJ39" s="4">
        <f t="shared" si="11"/>
        <v>725.03631199999995</v>
      </c>
      <c r="AK39" s="5"/>
      <c r="AL39" s="4"/>
    </row>
    <row r="40" spans="1:38" ht="14.4" customHeight="1" x14ac:dyDescent="0.3">
      <c r="A40" s="2">
        <v>38</v>
      </c>
      <c r="B40" s="2" t="s">
        <v>50</v>
      </c>
      <c r="C40" s="3">
        <v>43</v>
      </c>
      <c r="D40" s="14"/>
      <c r="E40" s="3">
        <v>57</v>
      </c>
      <c r="F40" s="3">
        <v>54</v>
      </c>
      <c r="G40" s="3">
        <v>52.7</v>
      </c>
      <c r="H40" s="3">
        <v>34.299999999999997</v>
      </c>
      <c r="I40" s="3">
        <v>44.3</v>
      </c>
      <c r="J40" s="3">
        <f t="shared" si="6"/>
        <v>48.46</v>
      </c>
      <c r="K40" s="3">
        <v>5</v>
      </c>
      <c r="L40" s="3">
        <v>5</v>
      </c>
      <c r="M40" s="3">
        <v>5</v>
      </c>
      <c r="N40" s="3">
        <v>4</v>
      </c>
      <c r="O40" s="3">
        <v>5</v>
      </c>
      <c r="P40" s="3">
        <f t="shared" si="7"/>
        <v>4.8</v>
      </c>
      <c r="Q40" s="3">
        <v>11</v>
      </c>
      <c r="R40" s="3">
        <v>12</v>
      </c>
      <c r="S40" s="3">
        <v>11</v>
      </c>
      <c r="T40" s="3">
        <v>13</v>
      </c>
      <c r="U40" s="3">
        <v>12</v>
      </c>
      <c r="V40" s="3">
        <f t="shared" si="8"/>
        <v>11.8</v>
      </c>
      <c r="W40" s="3">
        <v>14</v>
      </c>
      <c r="X40" s="3">
        <v>16</v>
      </c>
      <c r="Y40" s="3">
        <v>14</v>
      </c>
      <c r="Z40" s="3">
        <v>12</v>
      </c>
      <c r="AA40" s="3">
        <v>14</v>
      </c>
      <c r="AB40" s="3">
        <f t="shared" si="9"/>
        <v>14</v>
      </c>
      <c r="AC40" s="3">
        <v>12.8</v>
      </c>
      <c r="AD40" s="3">
        <v>17.399999999999999</v>
      </c>
      <c r="AE40" s="3">
        <v>18</v>
      </c>
      <c r="AF40" s="3">
        <v>10</v>
      </c>
      <c r="AG40" s="3">
        <v>11.9</v>
      </c>
      <c r="AH40" s="3">
        <f t="shared" si="10"/>
        <v>14.020000000000001</v>
      </c>
      <c r="AI40" s="11">
        <v>62.4</v>
      </c>
      <c r="AJ40" s="4">
        <f t="shared" si="11"/>
        <v>462.22175999999996</v>
      </c>
      <c r="AK40" s="5"/>
      <c r="AL40" s="9"/>
    </row>
    <row r="41" spans="1:38" ht="14.4" customHeight="1" x14ac:dyDescent="0.3">
      <c r="A41" s="2">
        <v>39</v>
      </c>
      <c r="B41" s="2" t="s">
        <v>51</v>
      </c>
      <c r="C41" s="3">
        <v>43</v>
      </c>
      <c r="D41" s="14"/>
      <c r="E41" s="3">
        <v>98.5</v>
      </c>
      <c r="F41" s="3">
        <v>85.5</v>
      </c>
      <c r="G41" s="3">
        <v>84.6</v>
      </c>
      <c r="H41" s="3">
        <v>72.900000000000006</v>
      </c>
      <c r="I41" s="3">
        <v>55.3</v>
      </c>
      <c r="J41" s="3">
        <f t="shared" si="6"/>
        <v>79.36</v>
      </c>
      <c r="K41" s="3">
        <v>12</v>
      </c>
      <c r="L41" s="3">
        <v>10</v>
      </c>
      <c r="M41" s="3">
        <v>9</v>
      </c>
      <c r="N41" s="3">
        <v>9</v>
      </c>
      <c r="O41" s="3">
        <v>8</v>
      </c>
      <c r="P41" s="3">
        <f t="shared" si="7"/>
        <v>9.6</v>
      </c>
      <c r="Q41" s="3">
        <v>22</v>
      </c>
      <c r="R41" s="3">
        <v>11</v>
      </c>
      <c r="S41" s="3">
        <v>14</v>
      </c>
      <c r="T41" s="3">
        <v>14</v>
      </c>
      <c r="U41" s="3">
        <v>10</v>
      </c>
      <c r="V41" s="3">
        <f t="shared" si="8"/>
        <v>14.2</v>
      </c>
      <c r="W41" s="3">
        <v>17</v>
      </c>
      <c r="X41" s="3">
        <v>16</v>
      </c>
      <c r="Y41" s="3">
        <v>15</v>
      </c>
      <c r="Z41" s="3">
        <v>19</v>
      </c>
      <c r="AA41" s="3">
        <v>16</v>
      </c>
      <c r="AB41" s="3">
        <f t="shared" si="9"/>
        <v>16.600000000000001</v>
      </c>
      <c r="AC41" s="3">
        <v>13.8</v>
      </c>
      <c r="AD41" s="3">
        <v>10.5</v>
      </c>
      <c r="AE41" s="3">
        <v>12</v>
      </c>
      <c r="AF41" s="3">
        <v>10.9</v>
      </c>
      <c r="AG41" s="3">
        <v>10.3</v>
      </c>
      <c r="AH41" s="3">
        <f t="shared" si="10"/>
        <v>11.5</v>
      </c>
      <c r="AI41" s="11">
        <v>133.41</v>
      </c>
      <c r="AJ41" s="4">
        <f t="shared" si="11"/>
        <v>988.22123399999998</v>
      </c>
      <c r="AK41" s="5"/>
      <c r="AL41" s="4"/>
    </row>
    <row r="42" spans="1:38" ht="14.4" customHeight="1" x14ac:dyDescent="0.3">
      <c r="A42" s="2">
        <v>40</v>
      </c>
      <c r="B42" s="10" t="s">
        <v>30</v>
      </c>
      <c r="C42" s="6">
        <v>39</v>
      </c>
      <c r="D42" s="15"/>
      <c r="E42" s="6">
        <v>70.400000000000006</v>
      </c>
      <c r="F42" s="6">
        <v>70.8</v>
      </c>
      <c r="G42" s="6">
        <v>70.400000000000006</v>
      </c>
      <c r="H42" s="6">
        <v>69.8</v>
      </c>
      <c r="I42" s="6">
        <v>69.599999999999994</v>
      </c>
      <c r="J42" s="3">
        <f t="shared" si="6"/>
        <v>70.2</v>
      </c>
      <c r="K42" s="6">
        <v>6</v>
      </c>
      <c r="L42" s="6">
        <v>6</v>
      </c>
      <c r="M42" s="6">
        <v>6</v>
      </c>
      <c r="N42" s="6">
        <v>6</v>
      </c>
      <c r="O42" s="6">
        <v>6</v>
      </c>
      <c r="P42" s="6">
        <f t="shared" si="7"/>
        <v>6</v>
      </c>
      <c r="Q42" s="6">
        <v>13</v>
      </c>
      <c r="R42" s="6">
        <v>12</v>
      </c>
      <c r="S42" s="6">
        <v>13</v>
      </c>
      <c r="T42" s="6">
        <v>13</v>
      </c>
      <c r="U42" s="6">
        <v>13</v>
      </c>
      <c r="V42" s="3">
        <f t="shared" si="8"/>
        <v>12.8</v>
      </c>
      <c r="W42" s="6">
        <v>12</v>
      </c>
      <c r="X42" s="6">
        <v>12</v>
      </c>
      <c r="Y42" s="6">
        <v>12</v>
      </c>
      <c r="Z42" s="6">
        <v>12</v>
      </c>
      <c r="AA42" s="6">
        <v>12</v>
      </c>
      <c r="AB42" s="3">
        <f t="shared" si="9"/>
        <v>12</v>
      </c>
      <c r="AC42" s="6">
        <v>12.7</v>
      </c>
      <c r="AD42" s="6">
        <v>12.6</v>
      </c>
      <c r="AE42" s="6">
        <v>12.9</v>
      </c>
      <c r="AF42" s="6">
        <v>12.7</v>
      </c>
      <c r="AG42" s="6">
        <v>12.8</v>
      </c>
      <c r="AH42" s="3">
        <f t="shared" si="10"/>
        <v>12.739999999999998</v>
      </c>
      <c r="AI42" s="7">
        <v>53.38</v>
      </c>
      <c r="AJ42" s="4">
        <f t="shared" si="11"/>
        <v>395.40701200000001</v>
      </c>
      <c r="AK42" s="5"/>
      <c r="AL42" s="4"/>
    </row>
    <row r="43" spans="1:38" ht="14.4" customHeight="1" x14ac:dyDescent="0.3">
      <c r="A43" s="2">
        <v>41</v>
      </c>
      <c r="B43" s="10" t="s">
        <v>31</v>
      </c>
      <c r="C43" s="6">
        <v>41</v>
      </c>
      <c r="D43" s="15"/>
      <c r="E43" s="6">
        <v>53.3</v>
      </c>
      <c r="F43" s="6">
        <v>61.8</v>
      </c>
      <c r="G43" s="6">
        <v>59.1</v>
      </c>
      <c r="H43" s="6">
        <v>58.4</v>
      </c>
      <c r="I43" s="6">
        <v>60.9</v>
      </c>
      <c r="J43" s="3">
        <f t="shared" si="6"/>
        <v>58.7</v>
      </c>
      <c r="K43" s="6">
        <v>8</v>
      </c>
      <c r="L43" s="6">
        <v>7</v>
      </c>
      <c r="M43" s="6">
        <v>7</v>
      </c>
      <c r="N43" s="6">
        <v>7</v>
      </c>
      <c r="O43" s="6">
        <v>8</v>
      </c>
      <c r="P43" s="6">
        <f t="shared" si="7"/>
        <v>7.4</v>
      </c>
      <c r="Q43" s="6">
        <v>15</v>
      </c>
      <c r="R43" s="6">
        <v>14</v>
      </c>
      <c r="S43" s="6">
        <v>14</v>
      </c>
      <c r="T43" s="6">
        <v>14</v>
      </c>
      <c r="U43" s="6">
        <v>14</v>
      </c>
      <c r="V43" s="3">
        <f t="shared" si="8"/>
        <v>14.2</v>
      </c>
      <c r="W43" s="6">
        <v>18</v>
      </c>
      <c r="X43" s="6">
        <v>18</v>
      </c>
      <c r="Y43" s="6">
        <v>18</v>
      </c>
      <c r="Z43" s="6">
        <v>18</v>
      </c>
      <c r="AA43" s="6">
        <v>18</v>
      </c>
      <c r="AB43" s="3">
        <f t="shared" si="9"/>
        <v>18</v>
      </c>
      <c r="AC43" s="6">
        <v>14.7</v>
      </c>
      <c r="AD43" s="6">
        <v>14.7</v>
      </c>
      <c r="AE43" s="6">
        <v>14.6</v>
      </c>
      <c r="AF43" s="6">
        <v>14.5</v>
      </c>
      <c r="AG43" s="6">
        <v>14.5</v>
      </c>
      <c r="AH43" s="3">
        <f t="shared" si="10"/>
        <v>14.6</v>
      </c>
      <c r="AI43" s="7">
        <v>52.42</v>
      </c>
      <c r="AJ43" s="4">
        <f t="shared" si="11"/>
        <v>388.295908</v>
      </c>
      <c r="AK43" s="8"/>
      <c r="AL43" s="9"/>
    </row>
    <row r="44" spans="1:38" ht="15.6" customHeight="1" x14ac:dyDescent="0.3">
      <c r="A44" s="2">
        <v>42</v>
      </c>
      <c r="B44" s="10" t="s">
        <v>32</v>
      </c>
      <c r="C44" s="6">
        <v>56</v>
      </c>
      <c r="D44" s="16"/>
      <c r="E44" s="6">
        <v>48.8</v>
      </c>
      <c r="F44" s="6">
        <v>48.5</v>
      </c>
      <c r="G44" s="6">
        <v>49.2</v>
      </c>
      <c r="H44" s="6">
        <v>48.9</v>
      </c>
      <c r="I44" s="6">
        <v>49.1</v>
      </c>
      <c r="J44" s="3">
        <f t="shared" si="6"/>
        <v>48.9</v>
      </c>
      <c r="K44" s="6">
        <v>7</v>
      </c>
      <c r="L44" s="6">
        <v>7</v>
      </c>
      <c r="M44" s="6">
        <v>6</v>
      </c>
      <c r="N44" s="6">
        <v>7</v>
      </c>
      <c r="O44" s="6">
        <v>6</v>
      </c>
      <c r="P44" s="6">
        <f t="shared" si="7"/>
        <v>6.6</v>
      </c>
      <c r="Q44" s="6">
        <v>13</v>
      </c>
      <c r="R44" s="6">
        <v>13</v>
      </c>
      <c r="S44" s="6">
        <v>13</v>
      </c>
      <c r="T44" s="6">
        <v>13</v>
      </c>
      <c r="U44" s="6">
        <v>13</v>
      </c>
      <c r="V44" s="3">
        <f t="shared" si="8"/>
        <v>13</v>
      </c>
      <c r="W44" s="6">
        <v>15</v>
      </c>
      <c r="X44" s="6">
        <v>15</v>
      </c>
      <c r="Y44" s="6">
        <v>15</v>
      </c>
      <c r="Z44" s="6">
        <v>15</v>
      </c>
      <c r="AA44" s="6">
        <v>15</v>
      </c>
      <c r="AB44" s="3">
        <f t="shared" si="9"/>
        <v>15</v>
      </c>
      <c r="AC44" s="6">
        <v>13.7</v>
      </c>
      <c r="AD44" s="6">
        <v>13.1</v>
      </c>
      <c r="AE44" s="6">
        <v>13.2</v>
      </c>
      <c r="AF44" s="6">
        <v>13.6</v>
      </c>
      <c r="AG44" s="6">
        <v>13.2</v>
      </c>
      <c r="AH44" s="3">
        <f t="shared" si="10"/>
        <v>13.36</v>
      </c>
      <c r="AI44" s="7">
        <v>61.3</v>
      </c>
      <c r="AJ44" s="4">
        <f t="shared" si="11"/>
        <v>454.07361999999995</v>
      </c>
      <c r="AK44" s="8"/>
      <c r="AL44" s="9"/>
    </row>
    <row r="45" spans="1:38" ht="14.4" customHeight="1" x14ac:dyDescent="0.3">
      <c r="A45" s="2">
        <v>43</v>
      </c>
      <c r="B45" s="10" t="s">
        <v>33</v>
      </c>
      <c r="C45" s="6">
        <v>49</v>
      </c>
      <c r="D45" s="15"/>
      <c r="E45" s="6">
        <v>75.5</v>
      </c>
      <c r="F45" s="6">
        <v>75.400000000000006</v>
      </c>
      <c r="G45" s="6">
        <v>75.099999999999994</v>
      </c>
      <c r="H45" s="6">
        <v>74.5</v>
      </c>
      <c r="I45" s="6">
        <v>75.099999999999994</v>
      </c>
      <c r="J45" s="3">
        <f t="shared" si="6"/>
        <v>75.12</v>
      </c>
      <c r="K45" s="6">
        <v>8</v>
      </c>
      <c r="L45" s="6">
        <v>8</v>
      </c>
      <c r="M45" s="6">
        <v>8</v>
      </c>
      <c r="N45" s="6">
        <v>8</v>
      </c>
      <c r="O45" s="6">
        <v>8</v>
      </c>
      <c r="P45" s="6">
        <f t="shared" si="7"/>
        <v>8</v>
      </c>
      <c r="Q45" s="6">
        <v>14</v>
      </c>
      <c r="R45" s="6">
        <v>14</v>
      </c>
      <c r="S45" s="6">
        <v>15</v>
      </c>
      <c r="T45" s="6">
        <v>14</v>
      </c>
      <c r="U45" s="6">
        <v>14</v>
      </c>
      <c r="V45" s="3">
        <f t="shared" si="8"/>
        <v>14.2</v>
      </c>
      <c r="W45" s="6">
        <v>15</v>
      </c>
      <c r="X45" s="6">
        <v>14</v>
      </c>
      <c r="Y45" s="6">
        <v>15</v>
      </c>
      <c r="Z45" s="6">
        <v>15</v>
      </c>
      <c r="AA45" s="6">
        <v>15</v>
      </c>
      <c r="AB45" s="3">
        <f t="shared" si="9"/>
        <v>14.8</v>
      </c>
      <c r="AC45" s="6">
        <v>12.3</v>
      </c>
      <c r="AD45" s="6">
        <v>13.3</v>
      </c>
      <c r="AE45" s="6">
        <v>13.5</v>
      </c>
      <c r="AF45" s="6">
        <v>13.3</v>
      </c>
      <c r="AG45" s="6">
        <v>12.4</v>
      </c>
      <c r="AH45" s="3">
        <f t="shared" si="10"/>
        <v>12.960000000000003</v>
      </c>
      <c r="AI45" s="7">
        <v>74.59</v>
      </c>
      <c r="AJ45" s="4">
        <f t="shared" si="11"/>
        <v>552.517966</v>
      </c>
      <c r="AK45" s="8"/>
      <c r="AL45" s="4"/>
    </row>
    <row r="46" spans="1:38" ht="14.4" customHeight="1" x14ac:dyDescent="0.3">
      <c r="A46" s="2">
        <v>44</v>
      </c>
      <c r="B46" s="10" t="s">
        <v>34</v>
      </c>
      <c r="C46" s="6">
        <v>38</v>
      </c>
      <c r="D46" s="15"/>
      <c r="E46" s="6">
        <v>60.5</v>
      </c>
      <c r="F46" s="6">
        <v>59.3</v>
      </c>
      <c r="G46" s="6">
        <v>60.6</v>
      </c>
      <c r="H46" s="6">
        <v>65.2</v>
      </c>
      <c r="I46" s="6">
        <v>63.8</v>
      </c>
      <c r="J46" s="3">
        <f t="shared" si="6"/>
        <v>61.88000000000001</v>
      </c>
      <c r="K46" s="6">
        <v>8</v>
      </c>
      <c r="L46" s="6">
        <v>8</v>
      </c>
      <c r="M46" s="6">
        <v>8</v>
      </c>
      <c r="N46" s="6">
        <v>8</v>
      </c>
      <c r="O46" s="6">
        <v>9</v>
      </c>
      <c r="P46" s="6">
        <f t="shared" si="7"/>
        <v>8.1999999999999993</v>
      </c>
      <c r="Q46" s="6">
        <v>13</v>
      </c>
      <c r="R46" s="6">
        <v>14</v>
      </c>
      <c r="S46" s="6">
        <v>13</v>
      </c>
      <c r="T46" s="6">
        <v>13</v>
      </c>
      <c r="U46" s="6">
        <v>14</v>
      </c>
      <c r="V46" s="3">
        <f t="shared" si="8"/>
        <v>13.4</v>
      </c>
      <c r="W46" s="6">
        <v>13</v>
      </c>
      <c r="X46" s="6">
        <v>13</v>
      </c>
      <c r="Y46" s="6">
        <v>13</v>
      </c>
      <c r="Z46" s="6">
        <v>13</v>
      </c>
      <c r="AA46" s="6">
        <v>12</v>
      </c>
      <c r="AB46" s="3">
        <f t="shared" si="9"/>
        <v>12.8</v>
      </c>
      <c r="AC46" s="6">
        <v>12.5</v>
      </c>
      <c r="AD46" s="6">
        <v>12.5</v>
      </c>
      <c r="AE46" s="6">
        <v>12.5</v>
      </c>
      <c r="AF46" s="6">
        <v>12.5</v>
      </c>
      <c r="AG46" s="6">
        <v>12.4</v>
      </c>
      <c r="AH46" s="3">
        <f t="shared" si="10"/>
        <v>12.48</v>
      </c>
      <c r="AI46" s="7">
        <v>78.680000000000007</v>
      </c>
      <c r="AJ46" s="4">
        <f t="shared" si="11"/>
        <v>582.81423200000006</v>
      </c>
      <c r="AK46" s="5"/>
      <c r="AL46" s="4"/>
    </row>
    <row r="47" spans="1:38" ht="14.4" customHeight="1" x14ac:dyDescent="0.3">
      <c r="A47" s="2">
        <v>45</v>
      </c>
      <c r="B47" s="2" t="s">
        <v>52</v>
      </c>
      <c r="C47" s="3">
        <v>46</v>
      </c>
      <c r="D47" s="14"/>
      <c r="E47" s="3">
        <v>35.799999999999997</v>
      </c>
      <c r="F47" s="3">
        <v>65.3</v>
      </c>
      <c r="G47" s="3">
        <v>55.3</v>
      </c>
      <c r="H47" s="3">
        <v>45</v>
      </c>
      <c r="I47" s="3">
        <v>55.5</v>
      </c>
      <c r="J47" s="3">
        <f t="shared" si="6"/>
        <v>51.379999999999995</v>
      </c>
      <c r="K47" s="3">
        <v>6</v>
      </c>
      <c r="L47" s="3">
        <v>5</v>
      </c>
      <c r="M47" s="3">
        <v>7</v>
      </c>
      <c r="N47" s="3">
        <v>7</v>
      </c>
      <c r="O47" s="3">
        <v>7</v>
      </c>
      <c r="P47" s="3">
        <f t="shared" si="7"/>
        <v>6.4</v>
      </c>
      <c r="Q47" s="3">
        <v>11</v>
      </c>
      <c r="R47" s="3">
        <v>12</v>
      </c>
      <c r="S47" s="3">
        <v>14</v>
      </c>
      <c r="T47" s="3">
        <v>12</v>
      </c>
      <c r="U47" s="3">
        <v>11</v>
      </c>
      <c r="V47" s="3">
        <f t="shared" si="8"/>
        <v>12</v>
      </c>
      <c r="W47" s="3">
        <v>21</v>
      </c>
      <c r="X47" s="3">
        <v>19</v>
      </c>
      <c r="Y47" s="3">
        <v>18</v>
      </c>
      <c r="Z47" s="3">
        <v>20</v>
      </c>
      <c r="AA47" s="3">
        <v>16</v>
      </c>
      <c r="AB47" s="3">
        <f t="shared" si="9"/>
        <v>18.8</v>
      </c>
      <c r="AC47" s="3">
        <v>15.7</v>
      </c>
      <c r="AD47" s="3">
        <v>14</v>
      </c>
      <c r="AE47" s="3">
        <v>13.2</v>
      </c>
      <c r="AF47" s="3">
        <v>17.899999999999999</v>
      </c>
      <c r="AG47" s="3">
        <v>16.399999999999999</v>
      </c>
      <c r="AH47" s="3">
        <f t="shared" si="10"/>
        <v>15.439999999999998</v>
      </c>
      <c r="AI47" s="11">
        <v>176.47</v>
      </c>
      <c r="AJ47" s="4">
        <f t="shared" si="11"/>
        <v>1307.183878</v>
      </c>
      <c r="AK47" s="5"/>
      <c r="AL47" s="4"/>
    </row>
    <row r="48" spans="1:38" ht="14.4" customHeight="1" x14ac:dyDescent="0.3">
      <c r="A48" s="2">
        <v>46</v>
      </c>
      <c r="B48" s="2" t="s">
        <v>53</v>
      </c>
      <c r="C48" s="3">
        <v>40</v>
      </c>
      <c r="D48" s="14"/>
      <c r="E48" s="3">
        <v>70.8</v>
      </c>
      <c r="F48" s="3">
        <v>49.8</v>
      </c>
      <c r="G48" s="3">
        <v>45.7</v>
      </c>
      <c r="H48" s="3">
        <v>66.900000000000006</v>
      </c>
      <c r="I48" s="3">
        <v>52.6</v>
      </c>
      <c r="J48" s="3">
        <f t="shared" si="6"/>
        <v>57.160000000000004</v>
      </c>
      <c r="K48" s="3">
        <v>5</v>
      </c>
      <c r="L48" s="3">
        <v>5</v>
      </c>
      <c r="M48" s="3">
        <v>5</v>
      </c>
      <c r="N48" s="3">
        <v>6</v>
      </c>
      <c r="O48" s="3">
        <v>7</v>
      </c>
      <c r="P48" s="3">
        <f t="shared" si="7"/>
        <v>5.6</v>
      </c>
      <c r="Q48" s="3">
        <v>10</v>
      </c>
      <c r="R48" s="3">
        <v>14</v>
      </c>
      <c r="S48" s="3">
        <v>10</v>
      </c>
      <c r="T48" s="3">
        <v>12</v>
      </c>
      <c r="U48" s="3">
        <v>14</v>
      </c>
      <c r="V48" s="3">
        <f t="shared" si="8"/>
        <v>12</v>
      </c>
      <c r="W48" s="3">
        <v>15</v>
      </c>
      <c r="X48" s="3">
        <v>14</v>
      </c>
      <c r="Y48" s="3">
        <v>17</v>
      </c>
      <c r="Z48" s="3">
        <v>13</v>
      </c>
      <c r="AA48" s="3">
        <v>18</v>
      </c>
      <c r="AB48" s="3">
        <f t="shared" si="9"/>
        <v>15.4</v>
      </c>
      <c r="AC48" s="3">
        <v>9.3000000000000007</v>
      </c>
      <c r="AD48" s="3">
        <v>11.9</v>
      </c>
      <c r="AE48" s="3">
        <v>11.4</v>
      </c>
      <c r="AF48" s="3">
        <v>12.6</v>
      </c>
      <c r="AG48" s="3">
        <v>15.6</v>
      </c>
      <c r="AH48" s="3">
        <f t="shared" si="10"/>
        <v>12.16</v>
      </c>
      <c r="AI48" s="11">
        <v>76.260000000000005</v>
      </c>
      <c r="AJ48" s="4">
        <f t="shared" si="11"/>
        <v>564.88832400000001</v>
      </c>
      <c r="AK48" s="8"/>
      <c r="AL48" s="9"/>
    </row>
    <row r="49" spans="1:38" ht="14.4" customHeight="1" x14ac:dyDescent="0.3">
      <c r="A49" s="2">
        <v>47</v>
      </c>
      <c r="B49" s="2" t="s">
        <v>54</v>
      </c>
      <c r="C49" s="3">
        <v>60</v>
      </c>
      <c r="D49" s="14"/>
      <c r="E49" s="3">
        <v>75.7</v>
      </c>
      <c r="F49" s="3">
        <v>59.5</v>
      </c>
      <c r="G49" s="3">
        <v>98.1</v>
      </c>
      <c r="H49" s="3">
        <v>55.1</v>
      </c>
      <c r="I49" s="3">
        <v>44.1</v>
      </c>
      <c r="J49" s="3">
        <f t="shared" si="6"/>
        <v>66.5</v>
      </c>
      <c r="K49" s="3">
        <v>5</v>
      </c>
      <c r="L49" s="3">
        <v>6</v>
      </c>
      <c r="M49" s="3">
        <v>5</v>
      </c>
      <c r="N49" s="3">
        <v>3</v>
      </c>
      <c r="O49" s="3">
        <v>4</v>
      </c>
      <c r="P49" s="3">
        <f t="shared" si="7"/>
        <v>4.5999999999999996</v>
      </c>
      <c r="Q49" s="3">
        <v>11</v>
      </c>
      <c r="R49" s="3">
        <v>12</v>
      </c>
      <c r="S49" s="3">
        <v>11</v>
      </c>
      <c r="T49" s="3">
        <v>11</v>
      </c>
      <c r="U49" s="3">
        <v>12</v>
      </c>
      <c r="V49" s="3">
        <f t="shared" si="8"/>
        <v>11.4</v>
      </c>
      <c r="W49" s="3">
        <v>12</v>
      </c>
      <c r="X49" s="3">
        <v>12</v>
      </c>
      <c r="Y49" s="3">
        <v>15</v>
      </c>
      <c r="Z49" s="3">
        <v>15</v>
      </c>
      <c r="AA49" s="3">
        <v>13</v>
      </c>
      <c r="AB49" s="3">
        <f t="shared" si="9"/>
        <v>13.4</v>
      </c>
      <c r="AC49" s="3">
        <v>17</v>
      </c>
      <c r="AD49" s="3">
        <v>13.6</v>
      </c>
      <c r="AE49" s="3">
        <v>14.7</v>
      </c>
      <c r="AF49" s="3">
        <v>17.7</v>
      </c>
      <c r="AG49" s="3">
        <v>15</v>
      </c>
      <c r="AH49" s="3">
        <f t="shared" si="10"/>
        <v>15.6</v>
      </c>
      <c r="AI49" s="11">
        <v>58.8</v>
      </c>
      <c r="AJ49" s="4">
        <f t="shared" si="11"/>
        <v>435.55511999999993</v>
      </c>
      <c r="AK49" s="5"/>
      <c r="AL49" s="4"/>
    </row>
    <row r="50" spans="1:38" ht="14.4" customHeight="1" x14ac:dyDescent="0.3">
      <c r="A50" s="2">
        <v>48</v>
      </c>
      <c r="B50" s="2" t="s">
        <v>55</v>
      </c>
      <c r="C50" s="3">
        <v>60</v>
      </c>
      <c r="D50" s="14"/>
      <c r="E50" s="3">
        <v>88.7</v>
      </c>
      <c r="F50" s="3">
        <v>95</v>
      </c>
      <c r="G50" s="3">
        <v>76.5</v>
      </c>
      <c r="H50" s="3">
        <v>85.3</v>
      </c>
      <c r="I50" s="3">
        <v>97.8</v>
      </c>
      <c r="J50" s="3">
        <f t="shared" si="6"/>
        <v>88.66</v>
      </c>
      <c r="K50" s="3">
        <v>6</v>
      </c>
      <c r="L50" s="3">
        <v>6</v>
      </c>
      <c r="M50" s="3">
        <v>6</v>
      </c>
      <c r="N50" s="3">
        <v>4</v>
      </c>
      <c r="O50" s="3">
        <v>5</v>
      </c>
      <c r="P50" s="3">
        <f t="shared" si="7"/>
        <v>5.4</v>
      </c>
      <c r="Q50" s="3">
        <v>12</v>
      </c>
      <c r="R50" s="3">
        <v>14</v>
      </c>
      <c r="S50" s="3">
        <v>12</v>
      </c>
      <c r="T50" s="3">
        <v>10</v>
      </c>
      <c r="U50" s="3">
        <v>11</v>
      </c>
      <c r="V50" s="3">
        <f t="shared" si="8"/>
        <v>11.8</v>
      </c>
      <c r="W50" s="3">
        <v>15</v>
      </c>
      <c r="X50" s="3">
        <v>20</v>
      </c>
      <c r="Y50" s="3">
        <v>17</v>
      </c>
      <c r="Z50" s="3">
        <v>18</v>
      </c>
      <c r="AA50" s="3">
        <v>18</v>
      </c>
      <c r="AB50" s="3">
        <f t="shared" si="9"/>
        <v>17.600000000000001</v>
      </c>
      <c r="AC50" s="3">
        <v>13.1</v>
      </c>
      <c r="AD50" s="3">
        <v>14.7</v>
      </c>
      <c r="AE50" s="3">
        <v>14.6</v>
      </c>
      <c r="AF50" s="3">
        <v>15.7</v>
      </c>
      <c r="AG50" s="3">
        <v>18.3</v>
      </c>
      <c r="AH50" s="3">
        <f t="shared" si="10"/>
        <v>15.279999999999998</v>
      </c>
      <c r="AI50" s="11">
        <v>153.71</v>
      </c>
      <c r="AJ50" s="4">
        <f t="shared" si="11"/>
        <v>1138.5914539999999</v>
      </c>
      <c r="AK50" s="5"/>
      <c r="AL50" s="4"/>
    </row>
    <row r="51" spans="1:38" ht="14.4" customHeight="1" x14ac:dyDescent="0.3">
      <c r="A51" s="2">
        <v>49</v>
      </c>
      <c r="B51" s="2" t="s">
        <v>56</v>
      </c>
      <c r="C51" s="3">
        <v>60</v>
      </c>
      <c r="D51" s="14"/>
      <c r="E51" s="3">
        <v>110.5</v>
      </c>
      <c r="F51" s="3">
        <v>98.6</v>
      </c>
      <c r="G51" s="3">
        <v>115</v>
      </c>
      <c r="H51" s="3">
        <v>73.2</v>
      </c>
      <c r="I51" s="3">
        <v>83.9</v>
      </c>
      <c r="J51" s="3">
        <f t="shared" si="6"/>
        <v>96.240000000000009</v>
      </c>
      <c r="K51" s="3">
        <v>4</v>
      </c>
      <c r="L51" s="3">
        <v>4</v>
      </c>
      <c r="M51" s="3">
        <v>4</v>
      </c>
      <c r="N51" s="3">
        <v>3</v>
      </c>
      <c r="O51" s="3">
        <v>5</v>
      </c>
      <c r="P51" s="3">
        <f t="shared" si="7"/>
        <v>4</v>
      </c>
      <c r="Q51" s="3">
        <v>13</v>
      </c>
      <c r="R51" s="3">
        <v>10</v>
      </c>
      <c r="S51" s="3">
        <v>12</v>
      </c>
      <c r="T51" s="3">
        <v>10</v>
      </c>
      <c r="U51" s="3">
        <v>11</v>
      </c>
      <c r="V51" s="3">
        <f t="shared" si="8"/>
        <v>11.2</v>
      </c>
      <c r="W51" s="3">
        <v>19</v>
      </c>
      <c r="X51" s="3">
        <v>20</v>
      </c>
      <c r="Y51" s="3">
        <v>20</v>
      </c>
      <c r="Z51" s="3">
        <v>23</v>
      </c>
      <c r="AA51" s="3">
        <v>18</v>
      </c>
      <c r="AB51" s="3">
        <f t="shared" si="9"/>
        <v>20</v>
      </c>
      <c r="AC51" s="3">
        <v>13</v>
      </c>
      <c r="AD51" s="3">
        <v>17</v>
      </c>
      <c r="AE51" s="3">
        <v>18.2</v>
      </c>
      <c r="AF51" s="3">
        <v>20.3</v>
      </c>
      <c r="AG51" s="3">
        <v>15.2</v>
      </c>
      <c r="AH51" s="3">
        <f t="shared" si="10"/>
        <v>16.740000000000002</v>
      </c>
      <c r="AI51" s="11">
        <v>220.54</v>
      </c>
      <c r="AJ51" s="4">
        <f t="shared" si="11"/>
        <v>1633.6279959999997</v>
      </c>
      <c r="AK51" s="5"/>
      <c r="AL51" s="4"/>
    </row>
    <row r="52" spans="1:38" ht="14.4" customHeight="1" x14ac:dyDescent="0.3">
      <c r="A52" s="2">
        <v>50</v>
      </c>
      <c r="B52" s="2" t="s">
        <v>57</v>
      </c>
      <c r="C52" s="3">
        <v>60</v>
      </c>
      <c r="D52" s="14"/>
      <c r="E52" s="3">
        <v>70.7</v>
      </c>
      <c r="F52" s="3">
        <v>60.5</v>
      </c>
      <c r="G52" s="3">
        <v>77.7</v>
      </c>
      <c r="H52" s="3">
        <v>85.8</v>
      </c>
      <c r="I52" s="3">
        <v>76</v>
      </c>
      <c r="J52" s="3">
        <f t="shared" si="6"/>
        <v>74.14</v>
      </c>
      <c r="K52" s="3">
        <v>7</v>
      </c>
      <c r="L52" s="3">
        <v>6</v>
      </c>
      <c r="M52" s="3">
        <v>6</v>
      </c>
      <c r="N52" s="3">
        <v>6</v>
      </c>
      <c r="O52" s="3">
        <v>6</v>
      </c>
      <c r="P52" s="3">
        <f t="shared" si="7"/>
        <v>6.2</v>
      </c>
      <c r="Q52" s="3">
        <v>11</v>
      </c>
      <c r="R52" s="3">
        <v>12</v>
      </c>
      <c r="S52" s="3">
        <v>14</v>
      </c>
      <c r="T52" s="3">
        <v>12</v>
      </c>
      <c r="U52" s="3">
        <v>11</v>
      </c>
      <c r="V52" s="3">
        <f t="shared" si="8"/>
        <v>12</v>
      </c>
      <c r="W52" s="3">
        <v>15</v>
      </c>
      <c r="X52" s="3">
        <v>13</v>
      </c>
      <c r="Y52" s="3">
        <v>13</v>
      </c>
      <c r="Z52" s="3">
        <v>15</v>
      </c>
      <c r="AA52" s="3">
        <v>13</v>
      </c>
      <c r="AB52" s="3">
        <f t="shared" si="9"/>
        <v>13.8</v>
      </c>
      <c r="AC52" s="3">
        <v>13.1</v>
      </c>
      <c r="AD52" s="3">
        <v>14.1</v>
      </c>
      <c r="AE52" s="3">
        <v>12.4</v>
      </c>
      <c r="AF52" s="3">
        <v>14.5</v>
      </c>
      <c r="AG52" s="3">
        <v>15.3</v>
      </c>
      <c r="AH52" s="3">
        <f t="shared" si="10"/>
        <v>13.88</v>
      </c>
      <c r="AI52" s="11">
        <v>54.2</v>
      </c>
      <c r="AJ52" s="4">
        <f t="shared" si="11"/>
        <v>401.48108000000002</v>
      </c>
      <c r="AK52" s="5"/>
      <c r="AL52" s="4"/>
    </row>
    <row r="53" spans="1:38" ht="14.4" customHeight="1" x14ac:dyDescent="0.3">
      <c r="A53" s="2">
        <v>51</v>
      </c>
      <c r="B53" s="2" t="s">
        <v>58</v>
      </c>
      <c r="C53" s="3">
        <v>60</v>
      </c>
      <c r="D53" s="14"/>
      <c r="E53" s="3">
        <v>90.9</v>
      </c>
      <c r="F53" s="3">
        <v>95.6</v>
      </c>
      <c r="G53" s="3">
        <v>100.4</v>
      </c>
      <c r="H53" s="3">
        <v>95.6</v>
      </c>
      <c r="I53" s="3">
        <v>65.3</v>
      </c>
      <c r="J53" s="3">
        <f t="shared" si="6"/>
        <v>89.56</v>
      </c>
      <c r="K53" s="3">
        <v>9</v>
      </c>
      <c r="L53" s="3">
        <v>9</v>
      </c>
      <c r="M53" s="3">
        <v>8</v>
      </c>
      <c r="N53" s="3">
        <v>8</v>
      </c>
      <c r="O53" s="3">
        <v>10</v>
      </c>
      <c r="P53" s="3">
        <f t="shared" si="7"/>
        <v>8.8000000000000007</v>
      </c>
      <c r="Q53" s="3">
        <v>13</v>
      </c>
      <c r="R53" s="3">
        <v>11</v>
      </c>
      <c r="S53" s="3">
        <v>14</v>
      </c>
      <c r="T53" s="3">
        <v>15</v>
      </c>
      <c r="U53" s="3">
        <v>13</v>
      </c>
      <c r="V53" s="3">
        <f t="shared" si="8"/>
        <v>13.2</v>
      </c>
      <c r="W53" s="3">
        <v>16</v>
      </c>
      <c r="X53" s="3">
        <v>17</v>
      </c>
      <c r="Y53" s="3">
        <v>14</v>
      </c>
      <c r="Z53" s="3">
        <v>16</v>
      </c>
      <c r="AA53" s="3">
        <v>19</v>
      </c>
      <c r="AB53" s="3">
        <f t="shared" si="9"/>
        <v>16.399999999999999</v>
      </c>
      <c r="AC53" s="3">
        <v>18</v>
      </c>
      <c r="AD53" s="3">
        <v>16.3</v>
      </c>
      <c r="AE53" s="3">
        <v>17</v>
      </c>
      <c r="AF53" s="3">
        <v>14.5</v>
      </c>
      <c r="AG53" s="3">
        <v>11.3</v>
      </c>
      <c r="AH53" s="3">
        <f t="shared" si="10"/>
        <v>15.419999999999998</v>
      </c>
      <c r="AI53" s="11">
        <v>117</v>
      </c>
      <c r="AJ53" s="4">
        <f t="shared" si="11"/>
        <v>866.66579999999988</v>
      </c>
      <c r="AK53" s="5"/>
      <c r="AL53" s="4"/>
    </row>
    <row r="54" spans="1:38" ht="14.4" customHeight="1" x14ac:dyDescent="0.3">
      <c r="A54" s="2">
        <v>52</v>
      </c>
      <c r="B54" s="2" t="s">
        <v>59</v>
      </c>
      <c r="C54" s="3">
        <v>43</v>
      </c>
      <c r="D54" s="14"/>
      <c r="E54" s="3">
        <v>75.8</v>
      </c>
      <c r="F54" s="3">
        <v>60.7</v>
      </c>
      <c r="G54" s="3">
        <v>75.599999999999994</v>
      </c>
      <c r="H54" s="3">
        <v>70.099999999999994</v>
      </c>
      <c r="I54" s="3">
        <v>65.900000000000006</v>
      </c>
      <c r="J54" s="3">
        <f t="shared" si="6"/>
        <v>69.62</v>
      </c>
      <c r="K54" s="3">
        <v>7</v>
      </c>
      <c r="L54" s="3">
        <v>8</v>
      </c>
      <c r="M54" s="3">
        <v>8</v>
      </c>
      <c r="N54" s="3">
        <v>9</v>
      </c>
      <c r="O54" s="3">
        <v>8</v>
      </c>
      <c r="P54" s="3">
        <f t="shared" si="7"/>
        <v>8</v>
      </c>
      <c r="Q54" s="3">
        <v>14</v>
      </c>
      <c r="R54" s="3">
        <v>12</v>
      </c>
      <c r="S54" s="3">
        <v>14</v>
      </c>
      <c r="T54" s="3">
        <v>15</v>
      </c>
      <c r="U54" s="3">
        <v>11</v>
      </c>
      <c r="V54" s="3">
        <f t="shared" si="8"/>
        <v>13.2</v>
      </c>
      <c r="W54" s="3">
        <v>18</v>
      </c>
      <c r="X54" s="3">
        <v>14</v>
      </c>
      <c r="Y54" s="3">
        <v>15</v>
      </c>
      <c r="Z54" s="3">
        <v>15</v>
      </c>
      <c r="AA54" s="3">
        <v>19</v>
      </c>
      <c r="AB54" s="3">
        <f t="shared" si="9"/>
        <v>16.2</v>
      </c>
      <c r="AC54" s="3">
        <v>15.3</v>
      </c>
      <c r="AD54" s="3">
        <v>18.2</v>
      </c>
      <c r="AE54" s="3">
        <v>19.3</v>
      </c>
      <c r="AF54" s="3">
        <v>14</v>
      </c>
      <c r="AG54" s="3">
        <v>16.899999999999999</v>
      </c>
      <c r="AH54" s="3">
        <f t="shared" si="10"/>
        <v>16.739999999999998</v>
      </c>
      <c r="AI54" s="11">
        <v>114.13</v>
      </c>
      <c r="AJ54" s="4">
        <f t="shared" si="11"/>
        <v>845.40656199999989</v>
      </c>
      <c r="AK54" s="5"/>
      <c r="AL54" s="4"/>
    </row>
    <row r="55" spans="1:38" ht="14.4" customHeight="1" x14ac:dyDescent="0.3">
      <c r="A55" s="2">
        <v>53</v>
      </c>
      <c r="B55" s="2" t="s">
        <v>60</v>
      </c>
      <c r="C55" s="3">
        <v>43</v>
      </c>
      <c r="D55" s="14"/>
      <c r="E55" s="3">
        <v>80.400000000000006</v>
      </c>
      <c r="F55" s="3">
        <v>90.9</v>
      </c>
      <c r="G55" s="3">
        <v>90</v>
      </c>
      <c r="H55" s="3">
        <v>85.1</v>
      </c>
      <c r="I55" s="3">
        <v>80.099999999999994</v>
      </c>
      <c r="J55" s="3">
        <f t="shared" si="6"/>
        <v>85.3</v>
      </c>
      <c r="K55" s="3">
        <v>8</v>
      </c>
      <c r="L55" s="3">
        <v>10</v>
      </c>
      <c r="M55" s="3">
        <v>10</v>
      </c>
      <c r="N55" s="3">
        <v>8</v>
      </c>
      <c r="O55" s="3">
        <v>8</v>
      </c>
      <c r="P55" s="3">
        <f t="shared" si="7"/>
        <v>8.8000000000000007</v>
      </c>
      <c r="Q55" s="3">
        <v>17</v>
      </c>
      <c r="R55" s="3">
        <v>12</v>
      </c>
      <c r="S55" s="3">
        <v>13</v>
      </c>
      <c r="T55" s="3">
        <v>12</v>
      </c>
      <c r="U55" s="3">
        <v>14</v>
      </c>
      <c r="V55" s="3">
        <f t="shared" si="8"/>
        <v>13.6</v>
      </c>
      <c r="W55" s="3">
        <v>16</v>
      </c>
      <c r="X55" s="3">
        <v>16</v>
      </c>
      <c r="Y55" s="3">
        <v>14</v>
      </c>
      <c r="Z55" s="3">
        <v>13</v>
      </c>
      <c r="AA55" s="3">
        <v>15</v>
      </c>
      <c r="AB55" s="3">
        <f t="shared" si="9"/>
        <v>14.8</v>
      </c>
      <c r="AC55" s="3">
        <v>17.899999999999999</v>
      </c>
      <c r="AD55" s="3">
        <v>18.899999999999999</v>
      </c>
      <c r="AE55" s="3">
        <v>18.5</v>
      </c>
      <c r="AF55" s="3">
        <v>15.1</v>
      </c>
      <c r="AG55" s="3">
        <v>10.3</v>
      </c>
      <c r="AH55" s="3">
        <f t="shared" si="10"/>
        <v>16.139999999999997</v>
      </c>
      <c r="AI55" s="11">
        <v>61.6</v>
      </c>
      <c r="AJ55" s="4">
        <f t="shared" si="11"/>
        <v>456.29583999999994</v>
      </c>
      <c r="AK55" s="8"/>
      <c r="AL55" s="4"/>
    </row>
    <row r="56" spans="1:38" ht="14.4" customHeight="1" x14ac:dyDescent="0.3">
      <c r="A56" s="2">
        <v>54</v>
      </c>
      <c r="B56" s="2" t="s">
        <v>61</v>
      </c>
      <c r="C56" s="3">
        <v>43</v>
      </c>
      <c r="D56" s="14"/>
      <c r="E56" s="3">
        <v>60.1</v>
      </c>
      <c r="F56" s="3">
        <v>60.3</v>
      </c>
      <c r="G56" s="3">
        <v>80.7</v>
      </c>
      <c r="H56" s="3">
        <v>65.3</v>
      </c>
      <c r="I56" s="3">
        <v>87.9</v>
      </c>
      <c r="J56" s="3">
        <f t="shared" si="6"/>
        <v>70.860000000000014</v>
      </c>
      <c r="K56" s="3">
        <v>6</v>
      </c>
      <c r="L56" s="3">
        <v>6</v>
      </c>
      <c r="M56" s="3">
        <v>5</v>
      </c>
      <c r="N56" s="3">
        <v>7</v>
      </c>
      <c r="O56" s="3">
        <v>7</v>
      </c>
      <c r="P56" s="3">
        <f t="shared" si="7"/>
        <v>6.2</v>
      </c>
      <c r="Q56" s="3">
        <v>14</v>
      </c>
      <c r="R56" s="3">
        <v>15</v>
      </c>
      <c r="S56" s="3">
        <v>12</v>
      </c>
      <c r="T56" s="3">
        <v>11</v>
      </c>
      <c r="U56" s="3">
        <v>10</v>
      </c>
      <c r="V56" s="3">
        <f t="shared" si="8"/>
        <v>12.4</v>
      </c>
      <c r="W56" s="3">
        <v>15</v>
      </c>
      <c r="X56" s="3">
        <v>15</v>
      </c>
      <c r="Y56" s="3">
        <v>17</v>
      </c>
      <c r="Z56" s="3">
        <v>15</v>
      </c>
      <c r="AA56" s="3">
        <v>12</v>
      </c>
      <c r="AB56" s="3">
        <f t="shared" si="9"/>
        <v>14.8</v>
      </c>
      <c r="AC56" s="3">
        <v>14.1</v>
      </c>
      <c r="AD56" s="3">
        <v>14.2</v>
      </c>
      <c r="AE56" s="3">
        <v>15.4</v>
      </c>
      <c r="AF56" s="3">
        <v>14</v>
      </c>
      <c r="AG56" s="3">
        <v>14.4</v>
      </c>
      <c r="AH56" s="3">
        <f t="shared" si="10"/>
        <v>14.419999999999998</v>
      </c>
      <c r="AI56" s="11">
        <v>55.2</v>
      </c>
      <c r="AJ56" s="4">
        <f t="shared" si="11"/>
        <v>408.88847999999996</v>
      </c>
      <c r="AK56" s="5"/>
      <c r="AL56" s="4"/>
    </row>
    <row r="57" spans="1:38" ht="14.4" customHeight="1" x14ac:dyDescent="0.3">
      <c r="A57" s="2">
        <v>55</v>
      </c>
      <c r="B57" s="2" t="s">
        <v>62</v>
      </c>
      <c r="C57" s="3">
        <v>40</v>
      </c>
      <c r="D57" s="14"/>
      <c r="E57" s="3">
        <v>90.8</v>
      </c>
      <c r="F57" s="3">
        <v>98.8</v>
      </c>
      <c r="G57" s="3">
        <v>90.2</v>
      </c>
      <c r="H57" s="3">
        <v>96.6</v>
      </c>
      <c r="I57" s="3">
        <v>95.5</v>
      </c>
      <c r="J57" s="3">
        <f t="shared" si="6"/>
        <v>94.38</v>
      </c>
      <c r="K57" s="3">
        <v>10</v>
      </c>
      <c r="L57" s="3">
        <v>7</v>
      </c>
      <c r="M57" s="3">
        <v>7</v>
      </c>
      <c r="N57" s="3">
        <v>9</v>
      </c>
      <c r="O57" s="3">
        <v>7</v>
      </c>
      <c r="P57" s="3">
        <f t="shared" si="7"/>
        <v>8</v>
      </c>
      <c r="Q57" s="3">
        <v>14</v>
      </c>
      <c r="R57" s="3">
        <v>12</v>
      </c>
      <c r="S57" s="3">
        <v>11</v>
      </c>
      <c r="T57" s="3">
        <v>14</v>
      </c>
      <c r="U57" s="3">
        <v>15</v>
      </c>
      <c r="V57" s="3">
        <f t="shared" si="8"/>
        <v>13.2</v>
      </c>
      <c r="W57" s="3">
        <v>16</v>
      </c>
      <c r="X57" s="3">
        <v>13</v>
      </c>
      <c r="Y57" s="3">
        <v>15</v>
      </c>
      <c r="Z57" s="3">
        <v>17</v>
      </c>
      <c r="AA57" s="3">
        <v>12</v>
      </c>
      <c r="AB57" s="3">
        <f t="shared" si="9"/>
        <v>14.6</v>
      </c>
      <c r="AC57" s="3">
        <v>14.4</v>
      </c>
      <c r="AD57" s="3">
        <v>15.4</v>
      </c>
      <c r="AE57" s="3">
        <v>13</v>
      </c>
      <c r="AF57" s="3">
        <v>16.2</v>
      </c>
      <c r="AG57" s="3">
        <v>14.2</v>
      </c>
      <c r="AH57" s="3">
        <f t="shared" si="10"/>
        <v>14.64</v>
      </c>
      <c r="AI57" s="11">
        <v>58.4</v>
      </c>
      <c r="AJ57" s="4">
        <f t="shared" si="11"/>
        <v>432.59215999999998</v>
      </c>
      <c r="AK57" s="5"/>
      <c r="AL57" s="4"/>
    </row>
    <row r="58" spans="1:38" ht="14.4" customHeight="1" x14ac:dyDescent="0.3">
      <c r="A58" s="2">
        <v>56</v>
      </c>
      <c r="B58" s="2" t="s">
        <v>63</v>
      </c>
      <c r="C58" s="3">
        <v>40</v>
      </c>
      <c r="D58" s="14"/>
      <c r="E58" s="3">
        <v>65.099999999999994</v>
      </c>
      <c r="F58" s="3">
        <v>90.2</v>
      </c>
      <c r="G58" s="3">
        <v>76.5</v>
      </c>
      <c r="H58" s="3">
        <v>76.5</v>
      </c>
      <c r="I58" s="3">
        <v>86.1</v>
      </c>
      <c r="J58" s="3">
        <f t="shared" si="6"/>
        <v>78.88</v>
      </c>
      <c r="K58" s="3">
        <v>11</v>
      </c>
      <c r="L58" s="3">
        <v>9</v>
      </c>
      <c r="M58" s="3">
        <v>12</v>
      </c>
      <c r="N58" s="3">
        <v>11</v>
      </c>
      <c r="O58" s="3">
        <v>10</v>
      </c>
      <c r="P58" s="3">
        <f t="shared" si="7"/>
        <v>10.6</v>
      </c>
      <c r="Q58" s="3">
        <v>14</v>
      </c>
      <c r="R58" s="3">
        <v>15</v>
      </c>
      <c r="S58" s="3">
        <v>18</v>
      </c>
      <c r="T58" s="3">
        <v>12</v>
      </c>
      <c r="U58" s="3">
        <v>13</v>
      </c>
      <c r="V58" s="3">
        <f t="shared" si="8"/>
        <v>14.4</v>
      </c>
      <c r="W58" s="3">
        <v>13</v>
      </c>
      <c r="X58" s="3">
        <v>13</v>
      </c>
      <c r="Y58" s="3">
        <v>15</v>
      </c>
      <c r="Z58" s="3">
        <v>13</v>
      </c>
      <c r="AA58" s="3">
        <v>16</v>
      </c>
      <c r="AB58" s="3">
        <f t="shared" si="9"/>
        <v>14</v>
      </c>
      <c r="AC58" s="3">
        <v>14.6</v>
      </c>
      <c r="AD58" s="3">
        <v>14.5</v>
      </c>
      <c r="AE58" s="3">
        <v>15.1</v>
      </c>
      <c r="AF58" s="3">
        <v>10</v>
      </c>
      <c r="AG58" s="3">
        <v>17.2</v>
      </c>
      <c r="AH58" s="3">
        <f t="shared" si="10"/>
        <v>14.280000000000001</v>
      </c>
      <c r="AI58" s="11">
        <v>81.17</v>
      </c>
      <c r="AJ58" s="4">
        <f t="shared" si="11"/>
        <v>601.25865799999997</v>
      </c>
      <c r="AK58" s="8"/>
      <c r="AL58" s="9"/>
    </row>
    <row r="59" spans="1:38" ht="14.4" customHeight="1" x14ac:dyDescent="0.3">
      <c r="A59" s="2">
        <v>57</v>
      </c>
      <c r="B59" s="2" t="s">
        <v>64</v>
      </c>
      <c r="C59" s="3">
        <v>40</v>
      </c>
      <c r="D59" s="14"/>
      <c r="E59" s="3">
        <v>60.9</v>
      </c>
      <c r="F59" s="3">
        <v>70.099999999999994</v>
      </c>
      <c r="G59" s="3">
        <v>40.6</v>
      </c>
      <c r="H59" s="3">
        <v>55.7</v>
      </c>
      <c r="I59" s="3">
        <v>85.5</v>
      </c>
      <c r="J59" s="3">
        <f t="shared" si="6"/>
        <v>62.56</v>
      </c>
      <c r="K59" s="3">
        <v>6</v>
      </c>
      <c r="L59" s="3">
        <v>9</v>
      </c>
      <c r="M59" s="3">
        <v>6</v>
      </c>
      <c r="N59" s="3">
        <v>8</v>
      </c>
      <c r="O59" s="3">
        <v>8</v>
      </c>
      <c r="P59" s="3">
        <f t="shared" si="7"/>
        <v>7.4</v>
      </c>
      <c r="Q59" s="3">
        <v>15</v>
      </c>
      <c r="R59" s="3">
        <v>14</v>
      </c>
      <c r="S59" s="3">
        <v>10</v>
      </c>
      <c r="T59" s="3">
        <v>11</v>
      </c>
      <c r="U59" s="3">
        <v>14</v>
      </c>
      <c r="V59" s="3">
        <f t="shared" si="8"/>
        <v>12.8</v>
      </c>
      <c r="W59" s="3">
        <v>16</v>
      </c>
      <c r="X59" s="3">
        <v>13</v>
      </c>
      <c r="Y59" s="3">
        <v>15</v>
      </c>
      <c r="Z59" s="3">
        <v>14</v>
      </c>
      <c r="AA59" s="3">
        <v>14</v>
      </c>
      <c r="AB59" s="3">
        <f t="shared" si="9"/>
        <v>14.4</v>
      </c>
      <c r="AC59" s="3">
        <v>14.9</v>
      </c>
      <c r="AD59" s="3">
        <v>15.3</v>
      </c>
      <c r="AE59" s="3">
        <v>12.6</v>
      </c>
      <c r="AF59" s="3">
        <v>14.8</v>
      </c>
      <c r="AG59" s="3">
        <v>10.3</v>
      </c>
      <c r="AH59" s="3">
        <f t="shared" si="10"/>
        <v>13.580000000000002</v>
      </c>
      <c r="AI59" s="11">
        <v>65</v>
      </c>
      <c r="AJ59" s="4">
        <f t="shared" si="11"/>
        <v>481.48099999999999</v>
      </c>
      <c r="AK59" s="5"/>
      <c r="AL59" s="4"/>
    </row>
    <row r="60" spans="1:38" ht="14.4" customHeight="1" x14ac:dyDescent="0.3">
      <c r="A60" s="2">
        <v>58</v>
      </c>
      <c r="B60" s="2" t="s">
        <v>65</v>
      </c>
      <c r="C60" s="3">
        <v>40</v>
      </c>
      <c r="D60" s="14"/>
      <c r="E60" s="3">
        <v>40.799999999999997</v>
      </c>
      <c r="F60" s="3">
        <v>60.5</v>
      </c>
      <c r="G60" s="3">
        <v>55.8</v>
      </c>
      <c r="H60" s="3">
        <v>52</v>
      </c>
      <c r="I60" s="3">
        <v>42</v>
      </c>
      <c r="J60" s="3">
        <f t="shared" si="6"/>
        <v>50.22</v>
      </c>
      <c r="K60" s="3">
        <v>11</v>
      </c>
      <c r="L60" s="3">
        <v>10</v>
      </c>
      <c r="M60" s="3">
        <v>9</v>
      </c>
      <c r="N60" s="3">
        <v>8</v>
      </c>
      <c r="O60" s="3">
        <v>9</v>
      </c>
      <c r="P60" s="3">
        <f t="shared" si="7"/>
        <v>9.4</v>
      </c>
      <c r="Q60" s="3">
        <v>16</v>
      </c>
      <c r="R60" s="3">
        <v>15</v>
      </c>
      <c r="S60" s="3">
        <v>14</v>
      </c>
      <c r="T60" s="3">
        <v>14</v>
      </c>
      <c r="U60" s="3">
        <v>11</v>
      </c>
      <c r="V60" s="3">
        <f t="shared" si="8"/>
        <v>14</v>
      </c>
      <c r="W60" s="3">
        <v>24</v>
      </c>
      <c r="X60" s="3">
        <v>24</v>
      </c>
      <c r="Y60" s="3">
        <v>19</v>
      </c>
      <c r="Z60" s="3">
        <v>21</v>
      </c>
      <c r="AA60" s="3">
        <v>21</v>
      </c>
      <c r="AB60" s="3">
        <f t="shared" si="9"/>
        <v>21.8</v>
      </c>
      <c r="AC60" s="3">
        <v>14.3</v>
      </c>
      <c r="AD60" s="3">
        <v>15.8</v>
      </c>
      <c r="AE60" s="3">
        <v>14.8</v>
      </c>
      <c r="AF60" s="3">
        <v>12.9</v>
      </c>
      <c r="AG60" s="3">
        <v>17.100000000000001</v>
      </c>
      <c r="AH60" s="3">
        <f t="shared" si="10"/>
        <v>14.98</v>
      </c>
      <c r="AI60" s="11">
        <v>269.97000000000003</v>
      </c>
      <c r="AJ60" s="4">
        <f t="shared" si="11"/>
        <v>1999.7757780000002</v>
      </c>
      <c r="AK60" s="8"/>
      <c r="AL60" s="9"/>
    </row>
    <row r="61" spans="1:38" ht="14.4" customHeight="1" x14ac:dyDescent="0.3">
      <c r="A61" s="2">
        <v>59</v>
      </c>
      <c r="B61" s="2" t="s">
        <v>66</v>
      </c>
      <c r="C61" s="3">
        <v>40</v>
      </c>
      <c r="D61" s="14"/>
      <c r="E61" s="3">
        <v>65.599999999999994</v>
      </c>
      <c r="F61" s="3">
        <v>90.5</v>
      </c>
      <c r="G61" s="3">
        <v>60.6</v>
      </c>
      <c r="H61" s="3">
        <v>72.7</v>
      </c>
      <c r="I61" s="3">
        <v>55.4</v>
      </c>
      <c r="J61" s="3">
        <f t="shared" si="6"/>
        <v>68.959999999999994</v>
      </c>
      <c r="K61" s="3">
        <v>11</v>
      </c>
      <c r="L61" s="3">
        <v>10</v>
      </c>
      <c r="M61" s="3">
        <v>10</v>
      </c>
      <c r="N61" s="3">
        <v>11</v>
      </c>
      <c r="O61" s="3">
        <v>11</v>
      </c>
      <c r="P61" s="3">
        <f t="shared" si="7"/>
        <v>10.6</v>
      </c>
      <c r="Q61" s="3">
        <v>20</v>
      </c>
      <c r="R61" s="3">
        <v>13</v>
      </c>
      <c r="S61" s="3">
        <v>12</v>
      </c>
      <c r="T61" s="3">
        <v>15</v>
      </c>
      <c r="U61" s="3">
        <v>12</v>
      </c>
      <c r="V61" s="3">
        <f t="shared" si="8"/>
        <v>14.4</v>
      </c>
      <c r="W61" s="3">
        <v>12</v>
      </c>
      <c r="X61" s="3">
        <v>15</v>
      </c>
      <c r="Y61" s="3">
        <v>14</v>
      </c>
      <c r="Z61" s="3">
        <v>13</v>
      </c>
      <c r="AA61" s="3">
        <v>15</v>
      </c>
      <c r="AB61" s="3">
        <f t="shared" si="9"/>
        <v>13.8</v>
      </c>
      <c r="AC61" s="3">
        <v>14.3</v>
      </c>
      <c r="AD61" s="3">
        <v>12.9</v>
      </c>
      <c r="AE61" s="3">
        <v>12.1</v>
      </c>
      <c r="AF61" s="3">
        <v>13.3</v>
      </c>
      <c r="AG61" s="3">
        <v>11.9</v>
      </c>
      <c r="AH61" s="3">
        <f t="shared" si="10"/>
        <v>12.900000000000002</v>
      </c>
      <c r="AI61" s="11">
        <v>57.2</v>
      </c>
      <c r="AJ61" s="4">
        <f t="shared" si="11"/>
        <v>423.70328000000001</v>
      </c>
      <c r="AK61" s="5"/>
      <c r="AL61" s="4"/>
    </row>
    <row r="62" spans="1:38" ht="14.4" customHeight="1" x14ac:dyDescent="0.3">
      <c r="A62" s="2">
        <v>60</v>
      </c>
      <c r="B62" s="2" t="s">
        <v>67</v>
      </c>
      <c r="C62" s="3">
        <v>40</v>
      </c>
      <c r="D62" s="14"/>
      <c r="E62" s="3">
        <v>60.6</v>
      </c>
      <c r="F62" s="3">
        <v>75.400000000000006</v>
      </c>
      <c r="G62" s="3">
        <v>50.6</v>
      </c>
      <c r="H62" s="3">
        <v>61.2</v>
      </c>
      <c r="I62" s="3">
        <v>75.900000000000006</v>
      </c>
      <c r="J62" s="3">
        <f t="shared" si="6"/>
        <v>64.740000000000009</v>
      </c>
      <c r="K62" s="3">
        <v>7</v>
      </c>
      <c r="L62" s="3">
        <v>6</v>
      </c>
      <c r="M62" s="3">
        <v>8</v>
      </c>
      <c r="N62" s="3">
        <v>7</v>
      </c>
      <c r="O62" s="3">
        <v>9</v>
      </c>
      <c r="P62" s="3">
        <f t="shared" si="7"/>
        <v>7.4</v>
      </c>
      <c r="Q62" s="3">
        <v>13</v>
      </c>
      <c r="R62" s="3">
        <v>13</v>
      </c>
      <c r="S62" s="3">
        <v>15</v>
      </c>
      <c r="T62" s="3">
        <v>10</v>
      </c>
      <c r="U62" s="3">
        <v>14</v>
      </c>
      <c r="V62" s="3">
        <f t="shared" si="8"/>
        <v>13</v>
      </c>
      <c r="W62" s="3">
        <v>14</v>
      </c>
      <c r="X62" s="3">
        <v>15</v>
      </c>
      <c r="Y62" s="3">
        <v>12</v>
      </c>
      <c r="Z62" s="3">
        <v>12</v>
      </c>
      <c r="AA62" s="3">
        <v>17</v>
      </c>
      <c r="AB62" s="3">
        <f t="shared" si="9"/>
        <v>14</v>
      </c>
      <c r="AC62" s="3">
        <v>14.9</v>
      </c>
      <c r="AD62" s="3">
        <v>17.2</v>
      </c>
      <c r="AE62" s="3">
        <v>15.6</v>
      </c>
      <c r="AF62" s="3">
        <v>15.4</v>
      </c>
      <c r="AG62" s="3">
        <v>15.5</v>
      </c>
      <c r="AH62" s="3">
        <f t="shared" si="10"/>
        <v>15.719999999999999</v>
      </c>
      <c r="AI62" s="11">
        <v>53.4</v>
      </c>
      <c r="AJ62" s="4">
        <f t="shared" si="11"/>
        <v>395.55516</v>
      </c>
      <c r="AK62" s="5"/>
      <c r="AL62" s="4"/>
    </row>
    <row r="63" spans="1:38" ht="14.4" customHeight="1" x14ac:dyDescent="0.3">
      <c r="A63" s="2">
        <v>61</v>
      </c>
      <c r="B63" s="2" t="s">
        <v>68</v>
      </c>
      <c r="C63" s="3">
        <v>40</v>
      </c>
      <c r="D63" s="14"/>
      <c r="E63" s="3">
        <v>35.4</v>
      </c>
      <c r="F63" s="3">
        <v>60.8</v>
      </c>
      <c r="G63" s="3">
        <v>45.6</v>
      </c>
      <c r="H63" s="3">
        <v>47.2</v>
      </c>
      <c r="I63" s="3">
        <v>55</v>
      </c>
      <c r="J63" s="3">
        <f t="shared" si="6"/>
        <v>48.8</v>
      </c>
      <c r="K63" s="3">
        <v>7</v>
      </c>
      <c r="L63" s="3">
        <v>9</v>
      </c>
      <c r="M63" s="3">
        <v>9</v>
      </c>
      <c r="N63" s="3">
        <v>8</v>
      </c>
      <c r="O63" s="3">
        <v>10</v>
      </c>
      <c r="P63" s="3">
        <f t="shared" si="7"/>
        <v>8.6</v>
      </c>
      <c r="Q63" s="3">
        <v>11</v>
      </c>
      <c r="R63" s="3">
        <v>14</v>
      </c>
      <c r="S63" s="3">
        <v>14</v>
      </c>
      <c r="T63" s="3">
        <v>13</v>
      </c>
      <c r="U63" s="3">
        <v>14</v>
      </c>
      <c r="V63" s="3">
        <f t="shared" si="8"/>
        <v>13.2</v>
      </c>
      <c r="W63" s="3">
        <v>16</v>
      </c>
      <c r="X63" s="3">
        <v>14</v>
      </c>
      <c r="Y63" s="3">
        <v>16</v>
      </c>
      <c r="Z63" s="3">
        <v>15</v>
      </c>
      <c r="AA63" s="3">
        <v>13</v>
      </c>
      <c r="AB63" s="3">
        <f t="shared" si="9"/>
        <v>14.8</v>
      </c>
      <c r="AC63" s="3">
        <v>13.2</v>
      </c>
      <c r="AD63" s="3">
        <v>12.3</v>
      </c>
      <c r="AE63" s="3">
        <v>15.8</v>
      </c>
      <c r="AF63" s="3">
        <v>15.3</v>
      </c>
      <c r="AG63" s="3">
        <v>17</v>
      </c>
      <c r="AH63" s="3">
        <f t="shared" si="10"/>
        <v>14.719999999999999</v>
      </c>
      <c r="AI63" s="11">
        <v>53</v>
      </c>
      <c r="AJ63" s="4">
        <f t="shared" si="11"/>
        <v>392.59219999999993</v>
      </c>
      <c r="AK63" s="5"/>
      <c r="AL63" s="4"/>
    </row>
    <row r="64" spans="1:38" ht="14.4" customHeight="1" x14ac:dyDescent="0.3">
      <c r="A64" s="2">
        <v>62</v>
      </c>
      <c r="B64" s="10" t="s">
        <v>30</v>
      </c>
      <c r="C64" s="6">
        <v>41</v>
      </c>
      <c r="D64" s="15"/>
      <c r="E64" s="6">
        <v>68.099999999999994</v>
      </c>
      <c r="F64" s="6">
        <v>68.5</v>
      </c>
      <c r="G64" s="6">
        <v>70.400000000000006</v>
      </c>
      <c r="H64" s="6">
        <v>69.2</v>
      </c>
      <c r="I64" s="6">
        <v>68.900000000000006</v>
      </c>
      <c r="J64" s="6">
        <f t="shared" si="6"/>
        <v>69.02000000000001</v>
      </c>
      <c r="K64" s="6">
        <v>7</v>
      </c>
      <c r="L64" s="6">
        <v>6</v>
      </c>
      <c r="M64" s="6">
        <v>6</v>
      </c>
      <c r="N64" s="6">
        <v>6</v>
      </c>
      <c r="O64" s="6">
        <v>6</v>
      </c>
      <c r="P64" s="6">
        <f t="shared" si="7"/>
        <v>6.2</v>
      </c>
      <c r="Q64" s="6">
        <v>12</v>
      </c>
      <c r="R64" s="6">
        <v>12</v>
      </c>
      <c r="S64" s="6">
        <v>11</v>
      </c>
      <c r="T64" s="6">
        <v>11</v>
      </c>
      <c r="U64" s="6">
        <v>12</v>
      </c>
      <c r="V64" s="3">
        <f t="shared" si="8"/>
        <v>11.6</v>
      </c>
      <c r="W64" s="6">
        <v>12</v>
      </c>
      <c r="X64" s="6">
        <v>12</v>
      </c>
      <c r="Y64" s="6">
        <v>12</v>
      </c>
      <c r="Z64" s="6">
        <v>12</v>
      </c>
      <c r="AA64" s="6">
        <v>12</v>
      </c>
      <c r="AB64" s="3">
        <f t="shared" si="9"/>
        <v>12</v>
      </c>
      <c r="AC64" s="6">
        <v>12.4</v>
      </c>
      <c r="AD64" s="6">
        <v>12.4</v>
      </c>
      <c r="AE64" s="6">
        <v>12.7</v>
      </c>
      <c r="AF64" s="6">
        <v>12.3</v>
      </c>
      <c r="AG64" s="6">
        <v>12.6</v>
      </c>
      <c r="AH64" s="3">
        <f t="shared" si="10"/>
        <v>12.48</v>
      </c>
      <c r="AI64" s="7">
        <v>57.96</v>
      </c>
      <c r="AJ64" s="4">
        <f t="shared" si="11"/>
        <v>429.33290399999998</v>
      </c>
      <c r="AK64" s="5"/>
      <c r="AL64" s="4"/>
    </row>
    <row r="65" spans="1:38" ht="14.4" customHeight="1" x14ac:dyDescent="0.3">
      <c r="A65" s="2">
        <v>63</v>
      </c>
      <c r="B65" s="10" t="s">
        <v>31</v>
      </c>
      <c r="C65" s="6">
        <v>42</v>
      </c>
      <c r="D65" s="15"/>
      <c r="E65" s="6">
        <v>61.8</v>
      </c>
      <c r="F65" s="6">
        <v>59.9</v>
      </c>
      <c r="G65" s="6">
        <v>61.3</v>
      </c>
      <c r="H65" s="6">
        <v>58.6</v>
      </c>
      <c r="I65" s="6">
        <v>59.6</v>
      </c>
      <c r="J65" s="6">
        <f t="shared" si="6"/>
        <v>60.239999999999995</v>
      </c>
      <c r="K65" s="6">
        <v>8</v>
      </c>
      <c r="L65" s="6">
        <v>8</v>
      </c>
      <c r="M65" s="6">
        <v>8</v>
      </c>
      <c r="N65" s="6">
        <v>7</v>
      </c>
      <c r="O65" s="6">
        <v>7</v>
      </c>
      <c r="P65" s="6">
        <f t="shared" si="7"/>
        <v>7.6</v>
      </c>
      <c r="Q65" s="6">
        <v>12</v>
      </c>
      <c r="R65" s="6">
        <v>12</v>
      </c>
      <c r="S65" s="6">
        <v>13</v>
      </c>
      <c r="T65" s="6">
        <v>14</v>
      </c>
      <c r="U65" s="6">
        <v>13</v>
      </c>
      <c r="V65" s="3">
        <f t="shared" si="8"/>
        <v>12.8</v>
      </c>
      <c r="W65" s="6">
        <v>18</v>
      </c>
      <c r="X65" s="6">
        <v>18</v>
      </c>
      <c r="Y65" s="6">
        <v>18</v>
      </c>
      <c r="Z65" s="6">
        <v>18</v>
      </c>
      <c r="AA65" s="6">
        <v>18</v>
      </c>
      <c r="AB65" s="3">
        <f t="shared" si="9"/>
        <v>18</v>
      </c>
      <c r="AC65" s="6">
        <v>14.5</v>
      </c>
      <c r="AD65" s="6">
        <v>14.7</v>
      </c>
      <c r="AE65" s="6">
        <v>15</v>
      </c>
      <c r="AF65" s="6">
        <v>15</v>
      </c>
      <c r="AG65" s="6">
        <v>14.9</v>
      </c>
      <c r="AH65" s="3">
        <f t="shared" si="10"/>
        <v>14.820000000000002</v>
      </c>
      <c r="AI65" s="7">
        <v>57.77</v>
      </c>
      <c r="AJ65" s="4">
        <f t="shared" si="11"/>
        <v>427.925498</v>
      </c>
      <c r="AK65" s="8"/>
      <c r="AL65" s="9"/>
    </row>
    <row r="66" spans="1:38" ht="15.6" customHeight="1" x14ac:dyDescent="0.3">
      <c r="A66" s="2">
        <v>64</v>
      </c>
      <c r="B66" s="10" t="s">
        <v>32</v>
      </c>
      <c r="C66" s="6">
        <v>54</v>
      </c>
      <c r="D66" s="16"/>
      <c r="E66" s="6">
        <v>49.4</v>
      </c>
      <c r="F66" s="6">
        <v>49.4</v>
      </c>
      <c r="G66" s="6">
        <v>49.2</v>
      </c>
      <c r="H66" s="6">
        <v>49.7</v>
      </c>
      <c r="I66" s="6">
        <v>49.1</v>
      </c>
      <c r="J66" s="6">
        <f t="shared" si="6"/>
        <v>49.36</v>
      </c>
      <c r="K66" s="6">
        <v>6</v>
      </c>
      <c r="L66" s="6">
        <v>6</v>
      </c>
      <c r="M66" s="6">
        <v>6</v>
      </c>
      <c r="N66" s="6">
        <v>6</v>
      </c>
      <c r="O66" s="6">
        <v>7</v>
      </c>
      <c r="P66" s="6">
        <f t="shared" si="7"/>
        <v>6.2</v>
      </c>
      <c r="Q66" s="6">
        <v>13</v>
      </c>
      <c r="R66" s="6">
        <v>13</v>
      </c>
      <c r="S66" s="6">
        <v>13</v>
      </c>
      <c r="T66" s="6">
        <v>13</v>
      </c>
      <c r="U66" s="6">
        <v>13</v>
      </c>
      <c r="V66" s="3">
        <f t="shared" si="8"/>
        <v>13</v>
      </c>
      <c r="W66" s="6">
        <v>14</v>
      </c>
      <c r="X66" s="6">
        <v>14</v>
      </c>
      <c r="Y66" s="6">
        <v>14</v>
      </c>
      <c r="Z66" s="6">
        <v>14</v>
      </c>
      <c r="AA66" s="6">
        <v>14</v>
      </c>
      <c r="AB66" s="3">
        <f t="shared" si="9"/>
        <v>14</v>
      </c>
      <c r="AC66" s="6">
        <v>13.2</v>
      </c>
      <c r="AD66" s="6">
        <v>13.7</v>
      </c>
      <c r="AE66" s="6">
        <v>13.7</v>
      </c>
      <c r="AF66" s="6">
        <v>13.2</v>
      </c>
      <c r="AG66" s="6">
        <v>13.6</v>
      </c>
      <c r="AH66" s="3">
        <f t="shared" si="10"/>
        <v>13.479999999999999</v>
      </c>
      <c r="AI66" s="7">
        <v>60.75</v>
      </c>
      <c r="AJ66" s="4">
        <f t="shared" si="11"/>
        <v>449.99955</v>
      </c>
      <c r="AK66" s="5"/>
      <c r="AL66" s="4"/>
    </row>
    <row r="67" spans="1:38" ht="14.4" customHeight="1" x14ac:dyDescent="0.3">
      <c r="A67" s="2">
        <v>65</v>
      </c>
      <c r="B67" s="10" t="s">
        <v>33</v>
      </c>
      <c r="C67" s="6">
        <v>47</v>
      </c>
      <c r="D67" s="15"/>
      <c r="E67" s="6">
        <v>73.400000000000006</v>
      </c>
      <c r="F67" s="6">
        <v>73.599999999999994</v>
      </c>
      <c r="G67" s="6">
        <v>73.7</v>
      </c>
      <c r="H67" s="6">
        <v>73.3</v>
      </c>
      <c r="I67" s="6">
        <v>73.7</v>
      </c>
      <c r="J67" s="6">
        <f t="shared" ref="J67:J98" si="12">AVERAGE(E67:I67)</f>
        <v>73.539999999999992</v>
      </c>
      <c r="K67" s="6">
        <v>7</v>
      </c>
      <c r="L67" s="6">
        <v>7</v>
      </c>
      <c r="M67" s="6">
        <v>8</v>
      </c>
      <c r="N67" s="6">
        <v>8</v>
      </c>
      <c r="O67" s="6">
        <v>7</v>
      </c>
      <c r="P67" s="6">
        <f t="shared" ref="P67:P98" si="13">AVERAGE(K67:O67)</f>
        <v>7.4</v>
      </c>
      <c r="Q67" s="6">
        <v>13</v>
      </c>
      <c r="R67" s="6">
        <v>13</v>
      </c>
      <c r="S67" s="6">
        <v>14</v>
      </c>
      <c r="T67" s="6">
        <v>14</v>
      </c>
      <c r="U67" s="6">
        <v>14</v>
      </c>
      <c r="V67" s="3">
        <f t="shared" ref="V67:V98" si="14">AVERAGE(Q67:U67)</f>
        <v>13.6</v>
      </c>
      <c r="W67" s="6">
        <v>14</v>
      </c>
      <c r="X67" s="6">
        <v>14</v>
      </c>
      <c r="Y67" s="6">
        <v>14</v>
      </c>
      <c r="Z67" s="6">
        <v>15</v>
      </c>
      <c r="AA67" s="6">
        <v>14</v>
      </c>
      <c r="AB67" s="3">
        <f t="shared" ref="AB67:AB98" si="15">AVERAGE(W67:AA67)</f>
        <v>14.2</v>
      </c>
      <c r="AC67" s="6">
        <v>13.7</v>
      </c>
      <c r="AD67" s="6">
        <v>13</v>
      </c>
      <c r="AE67" s="6">
        <v>12.3</v>
      </c>
      <c r="AF67" s="6">
        <v>12.7</v>
      </c>
      <c r="AG67" s="6">
        <v>12.9</v>
      </c>
      <c r="AH67" s="3">
        <f t="shared" ref="AH67:AH98" si="16">AVERAGE(AC67:AG67)</f>
        <v>12.920000000000002</v>
      </c>
      <c r="AI67" s="7">
        <v>73.06</v>
      </c>
      <c r="AJ67" s="4">
        <f t="shared" ref="AJ67:AJ98" si="17">AI67*7407.4/1000</f>
        <v>541.18464399999993</v>
      </c>
      <c r="AK67" s="5"/>
      <c r="AL67" s="4"/>
    </row>
    <row r="68" spans="1:38" ht="14.4" customHeight="1" x14ac:dyDescent="0.3">
      <c r="A68" s="2">
        <v>66</v>
      </c>
      <c r="B68" s="10" t="s">
        <v>34</v>
      </c>
      <c r="C68" s="6">
        <v>39</v>
      </c>
      <c r="D68" s="15"/>
      <c r="E68" s="6">
        <v>63.3</v>
      </c>
      <c r="F68" s="6">
        <v>64.2</v>
      </c>
      <c r="G68" s="6">
        <v>64.900000000000006</v>
      </c>
      <c r="H68" s="6">
        <v>62.4</v>
      </c>
      <c r="I68" s="6">
        <v>63.6</v>
      </c>
      <c r="J68" s="6">
        <f t="shared" si="12"/>
        <v>63.680000000000007</v>
      </c>
      <c r="K68" s="6">
        <v>8</v>
      </c>
      <c r="L68" s="10">
        <v>8</v>
      </c>
      <c r="M68" s="10">
        <v>9</v>
      </c>
      <c r="N68" s="10">
        <v>8</v>
      </c>
      <c r="O68" s="10">
        <v>9</v>
      </c>
      <c r="P68" s="6">
        <f t="shared" si="13"/>
        <v>8.4</v>
      </c>
      <c r="Q68" s="6">
        <v>13</v>
      </c>
      <c r="R68" s="6">
        <v>13</v>
      </c>
      <c r="S68" s="6">
        <v>14</v>
      </c>
      <c r="T68" s="6">
        <v>14</v>
      </c>
      <c r="U68" s="6">
        <v>15</v>
      </c>
      <c r="V68" s="3">
        <f t="shared" si="14"/>
        <v>13.8</v>
      </c>
      <c r="W68" s="6">
        <v>13</v>
      </c>
      <c r="X68" s="6">
        <v>14</v>
      </c>
      <c r="Y68" s="6">
        <v>13</v>
      </c>
      <c r="Z68" s="6">
        <v>14</v>
      </c>
      <c r="AA68" s="6">
        <v>13</v>
      </c>
      <c r="AB68" s="3">
        <f t="shared" si="15"/>
        <v>13.4</v>
      </c>
      <c r="AC68" s="6">
        <v>12.7</v>
      </c>
      <c r="AD68" s="6">
        <v>12.7</v>
      </c>
      <c r="AE68" s="6">
        <v>12.8</v>
      </c>
      <c r="AF68" s="6">
        <v>12.8</v>
      </c>
      <c r="AG68" s="6">
        <v>12.7</v>
      </c>
      <c r="AH68" s="3">
        <f t="shared" si="16"/>
        <v>12.74</v>
      </c>
      <c r="AI68" s="7">
        <v>69.040000000000006</v>
      </c>
      <c r="AJ68" s="4">
        <f t="shared" si="17"/>
        <v>511.40689600000002</v>
      </c>
      <c r="AK68" s="5"/>
      <c r="AL68" s="4"/>
    </row>
    <row r="69" spans="1:38" ht="14.4" customHeight="1" x14ac:dyDescent="0.3">
      <c r="A69" s="2">
        <v>67</v>
      </c>
      <c r="B69" s="2" t="s">
        <v>69</v>
      </c>
      <c r="C69" s="3">
        <v>48</v>
      </c>
      <c r="D69" s="14"/>
      <c r="E69" s="3">
        <v>60.5</v>
      </c>
      <c r="F69" s="3">
        <v>95.3</v>
      </c>
      <c r="G69" s="3">
        <v>40.700000000000003</v>
      </c>
      <c r="H69" s="3">
        <v>55.4</v>
      </c>
      <c r="I69" s="3">
        <v>44.5</v>
      </c>
      <c r="J69" s="3">
        <f t="shared" si="12"/>
        <v>59.279999999999994</v>
      </c>
      <c r="K69" s="3">
        <v>4</v>
      </c>
      <c r="L69" s="3">
        <v>5</v>
      </c>
      <c r="M69" s="3">
        <v>5</v>
      </c>
      <c r="N69" s="3">
        <v>4</v>
      </c>
      <c r="O69" s="3">
        <v>3</v>
      </c>
      <c r="P69" s="3">
        <f t="shared" si="13"/>
        <v>4.2</v>
      </c>
      <c r="Q69" s="3">
        <v>10</v>
      </c>
      <c r="R69" s="3">
        <v>12</v>
      </c>
      <c r="S69" s="3">
        <v>13</v>
      </c>
      <c r="T69" s="3">
        <v>10</v>
      </c>
      <c r="U69" s="3">
        <v>12</v>
      </c>
      <c r="V69" s="3">
        <f t="shared" si="14"/>
        <v>11.4</v>
      </c>
      <c r="W69" s="3">
        <v>16</v>
      </c>
      <c r="X69" s="3">
        <v>14</v>
      </c>
      <c r="Y69" s="3">
        <v>16</v>
      </c>
      <c r="Z69" s="3">
        <v>12</v>
      </c>
      <c r="AA69" s="3">
        <v>16</v>
      </c>
      <c r="AB69" s="3">
        <f t="shared" si="15"/>
        <v>14.8</v>
      </c>
      <c r="AC69" s="3">
        <v>11.9</v>
      </c>
      <c r="AD69" s="3">
        <v>15.6</v>
      </c>
      <c r="AE69" s="3">
        <v>13.5</v>
      </c>
      <c r="AF69" s="3">
        <v>11.7</v>
      </c>
      <c r="AG69" s="3">
        <v>13.3</v>
      </c>
      <c r="AH69" s="3">
        <f t="shared" si="16"/>
        <v>13.2</v>
      </c>
      <c r="AI69" s="11">
        <v>63.81</v>
      </c>
      <c r="AJ69" s="4">
        <f t="shared" si="17"/>
        <v>472.66619400000002</v>
      </c>
      <c r="AK69" s="5"/>
      <c r="AL69" s="4"/>
    </row>
    <row r="70" spans="1:38" ht="14.4" customHeight="1" x14ac:dyDescent="0.3">
      <c r="A70" s="2">
        <v>68</v>
      </c>
      <c r="B70" s="2" t="s">
        <v>70</v>
      </c>
      <c r="C70" s="3">
        <v>43</v>
      </c>
      <c r="D70" s="14"/>
      <c r="E70" s="3">
        <v>52.4</v>
      </c>
      <c r="F70" s="3">
        <v>49.2</v>
      </c>
      <c r="G70" s="3">
        <v>53</v>
      </c>
      <c r="H70" s="3">
        <v>66.900000000000006</v>
      </c>
      <c r="I70" s="3">
        <v>52.5</v>
      </c>
      <c r="J70" s="3">
        <f t="shared" si="12"/>
        <v>54.8</v>
      </c>
      <c r="K70" s="3">
        <v>10</v>
      </c>
      <c r="L70" s="3">
        <v>11</v>
      </c>
      <c r="M70" s="3">
        <v>11</v>
      </c>
      <c r="N70" s="3">
        <v>10</v>
      </c>
      <c r="O70" s="3">
        <v>11</v>
      </c>
      <c r="P70" s="3">
        <f t="shared" si="13"/>
        <v>10.6</v>
      </c>
      <c r="Q70" s="3">
        <v>14</v>
      </c>
      <c r="R70" s="3">
        <v>18</v>
      </c>
      <c r="S70" s="3">
        <v>13</v>
      </c>
      <c r="T70" s="3">
        <v>12</v>
      </c>
      <c r="U70" s="3">
        <v>14</v>
      </c>
      <c r="V70" s="3">
        <f t="shared" si="14"/>
        <v>14.2</v>
      </c>
      <c r="W70" s="3">
        <v>17</v>
      </c>
      <c r="X70" s="3">
        <v>13</v>
      </c>
      <c r="Y70" s="3">
        <v>15</v>
      </c>
      <c r="Z70" s="3">
        <v>14</v>
      </c>
      <c r="AA70" s="3">
        <v>12</v>
      </c>
      <c r="AB70" s="3">
        <f t="shared" si="15"/>
        <v>14.2</v>
      </c>
      <c r="AC70" s="3">
        <v>22.8</v>
      </c>
      <c r="AD70" s="3">
        <v>17.5</v>
      </c>
      <c r="AE70" s="3">
        <v>16.600000000000001</v>
      </c>
      <c r="AF70" s="3">
        <v>15</v>
      </c>
      <c r="AG70" s="3">
        <v>8.6999999999999993</v>
      </c>
      <c r="AH70" s="3">
        <f t="shared" si="16"/>
        <v>16.12</v>
      </c>
      <c r="AI70" s="11">
        <v>53.2</v>
      </c>
      <c r="AJ70" s="4">
        <f t="shared" si="17"/>
        <v>394.07367999999997</v>
      </c>
      <c r="AK70" s="5"/>
      <c r="AL70" s="4"/>
    </row>
    <row r="71" spans="1:38" ht="14.4" customHeight="1" x14ac:dyDescent="0.3">
      <c r="A71" s="2">
        <v>69</v>
      </c>
      <c r="B71" s="2" t="s">
        <v>71</v>
      </c>
      <c r="C71" s="3">
        <v>40</v>
      </c>
      <c r="D71" s="14"/>
      <c r="E71" s="3">
        <v>52.9</v>
      </c>
      <c r="F71" s="3">
        <v>95.1</v>
      </c>
      <c r="G71" s="3">
        <v>76.3</v>
      </c>
      <c r="H71" s="3">
        <v>32</v>
      </c>
      <c r="I71" s="3">
        <v>52.4</v>
      </c>
      <c r="J71" s="3">
        <f t="shared" si="12"/>
        <v>61.739999999999995</v>
      </c>
      <c r="K71" s="3">
        <v>7</v>
      </c>
      <c r="L71" s="3">
        <v>5</v>
      </c>
      <c r="M71" s="3">
        <v>6</v>
      </c>
      <c r="N71" s="3">
        <v>4</v>
      </c>
      <c r="O71" s="3">
        <v>6</v>
      </c>
      <c r="P71" s="3">
        <f t="shared" si="13"/>
        <v>5.6</v>
      </c>
      <c r="Q71" s="3">
        <v>13</v>
      </c>
      <c r="R71" s="3">
        <v>12</v>
      </c>
      <c r="S71" s="3">
        <v>11</v>
      </c>
      <c r="T71" s="3">
        <v>12</v>
      </c>
      <c r="U71" s="3">
        <v>11</v>
      </c>
      <c r="V71" s="3">
        <f t="shared" si="14"/>
        <v>11.8</v>
      </c>
      <c r="W71" s="3">
        <v>16</v>
      </c>
      <c r="X71" s="3">
        <v>12</v>
      </c>
      <c r="Y71" s="3">
        <v>12</v>
      </c>
      <c r="Z71" s="3">
        <v>14</v>
      </c>
      <c r="AA71" s="3">
        <v>14</v>
      </c>
      <c r="AB71" s="3">
        <f t="shared" si="15"/>
        <v>13.6</v>
      </c>
      <c r="AC71" s="3">
        <v>10.6</v>
      </c>
      <c r="AD71" s="3">
        <v>9.3000000000000007</v>
      </c>
      <c r="AE71" s="3">
        <v>8.6</v>
      </c>
      <c r="AF71" s="3">
        <v>15</v>
      </c>
      <c r="AG71" s="3">
        <v>16.899999999999999</v>
      </c>
      <c r="AH71" s="3">
        <f t="shared" si="16"/>
        <v>12.08</v>
      </c>
      <c r="AI71" s="11">
        <v>62.2</v>
      </c>
      <c r="AJ71" s="4">
        <f t="shared" si="17"/>
        <v>460.74027999999998</v>
      </c>
      <c r="AK71" s="5"/>
      <c r="AL71" s="4"/>
    </row>
    <row r="72" spans="1:38" ht="14.4" customHeight="1" x14ac:dyDescent="0.3">
      <c r="A72" s="2">
        <v>70</v>
      </c>
      <c r="B72" s="2" t="s">
        <v>72</v>
      </c>
      <c r="C72" s="3">
        <v>40</v>
      </c>
      <c r="D72" s="14"/>
      <c r="E72" s="3">
        <v>63.8</v>
      </c>
      <c r="F72" s="3">
        <v>85.6</v>
      </c>
      <c r="G72" s="3">
        <v>65.400000000000006</v>
      </c>
      <c r="H72" s="3">
        <v>90.5</v>
      </c>
      <c r="I72" s="3">
        <v>110.8</v>
      </c>
      <c r="J72" s="3">
        <f t="shared" si="12"/>
        <v>83.22</v>
      </c>
      <c r="K72" s="3">
        <v>10</v>
      </c>
      <c r="L72" s="3">
        <v>8</v>
      </c>
      <c r="M72" s="3">
        <v>9</v>
      </c>
      <c r="N72" s="3">
        <v>7</v>
      </c>
      <c r="O72" s="3">
        <v>10</v>
      </c>
      <c r="P72" s="3">
        <f t="shared" si="13"/>
        <v>8.8000000000000007</v>
      </c>
      <c r="Q72" s="3">
        <v>14</v>
      </c>
      <c r="R72" s="3">
        <v>13</v>
      </c>
      <c r="S72" s="3">
        <v>14</v>
      </c>
      <c r="T72" s="3">
        <v>13</v>
      </c>
      <c r="U72" s="3">
        <v>14</v>
      </c>
      <c r="V72" s="3">
        <f t="shared" si="14"/>
        <v>13.6</v>
      </c>
      <c r="W72" s="3">
        <v>17</v>
      </c>
      <c r="X72" s="3">
        <v>17</v>
      </c>
      <c r="Y72" s="3">
        <v>13</v>
      </c>
      <c r="Z72" s="3">
        <v>16</v>
      </c>
      <c r="AA72" s="3">
        <v>14</v>
      </c>
      <c r="AB72" s="3">
        <f t="shared" si="15"/>
        <v>15.4</v>
      </c>
      <c r="AC72" s="3">
        <v>13.6</v>
      </c>
      <c r="AD72" s="3">
        <v>15.3</v>
      </c>
      <c r="AE72" s="3">
        <v>10.7</v>
      </c>
      <c r="AF72" s="3">
        <v>14.9</v>
      </c>
      <c r="AG72" s="3">
        <v>10.4</v>
      </c>
      <c r="AH72" s="3">
        <f t="shared" si="16"/>
        <v>12.979999999999999</v>
      </c>
      <c r="AI72" s="11">
        <v>67.5</v>
      </c>
      <c r="AJ72" s="4">
        <f t="shared" si="17"/>
        <v>499.99950000000001</v>
      </c>
      <c r="AK72" s="8"/>
      <c r="AL72" s="4"/>
    </row>
    <row r="73" spans="1:38" ht="14.4" customHeight="1" x14ac:dyDescent="0.3">
      <c r="A73" s="2">
        <v>71</v>
      </c>
      <c r="B73" s="2" t="s">
        <v>73</v>
      </c>
      <c r="C73" s="3">
        <v>40</v>
      </c>
      <c r="D73" s="14"/>
      <c r="E73" s="3">
        <v>75.400000000000006</v>
      </c>
      <c r="F73" s="3">
        <v>44.8</v>
      </c>
      <c r="G73" s="3">
        <v>86.7</v>
      </c>
      <c r="H73" s="3">
        <v>50.7</v>
      </c>
      <c r="I73" s="3">
        <v>65.3</v>
      </c>
      <c r="J73" s="3">
        <f t="shared" si="12"/>
        <v>64.580000000000013</v>
      </c>
      <c r="K73" s="3">
        <v>10</v>
      </c>
      <c r="L73" s="3">
        <v>10</v>
      </c>
      <c r="M73" s="3">
        <v>11</v>
      </c>
      <c r="N73" s="3">
        <v>11</v>
      </c>
      <c r="O73" s="3">
        <v>10</v>
      </c>
      <c r="P73" s="3">
        <f t="shared" si="13"/>
        <v>10.4</v>
      </c>
      <c r="Q73" s="3">
        <v>13</v>
      </c>
      <c r="R73" s="3">
        <v>13</v>
      </c>
      <c r="S73" s="3">
        <v>19</v>
      </c>
      <c r="T73" s="3">
        <v>15</v>
      </c>
      <c r="U73" s="3">
        <v>11</v>
      </c>
      <c r="V73" s="3">
        <f t="shared" si="14"/>
        <v>14.2</v>
      </c>
      <c r="W73" s="3">
        <v>18</v>
      </c>
      <c r="X73" s="3">
        <v>15</v>
      </c>
      <c r="Y73" s="3">
        <v>17</v>
      </c>
      <c r="Z73" s="3">
        <v>12</v>
      </c>
      <c r="AA73" s="3">
        <v>17</v>
      </c>
      <c r="AB73" s="3">
        <f t="shared" si="15"/>
        <v>15.8</v>
      </c>
      <c r="AC73" s="3">
        <v>15</v>
      </c>
      <c r="AD73" s="3">
        <v>17.2</v>
      </c>
      <c r="AE73" s="3">
        <v>17.5</v>
      </c>
      <c r="AF73" s="3">
        <v>15.5</v>
      </c>
      <c r="AG73" s="3">
        <v>15.5</v>
      </c>
      <c r="AH73" s="3">
        <f t="shared" si="16"/>
        <v>16.14</v>
      </c>
      <c r="AI73" s="11">
        <v>78.2</v>
      </c>
      <c r="AJ73" s="4">
        <f t="shared" si="17"/>
        <v>579.25867999999991</v>
      </c>
      <c r="AK73" s="5"/>
      <c r="AL73" s="4"/>
    </row>
    <row r="74" spans="1:38" ht="14.4" customHeight="1" x14ac:dyDescent="0.3">
      <c r="A74" s="2">
        <v>72</v>
      </c>
      <c r="B74" s="2" t="s">
        <v>74</v>
      </c>
      <c r="C74" s="3">
        <v>40</v>
      </c>
      <c r="D74" s="14"/>
      <c r="E74" s="3">
        <v>85.3</v>
      </c>
      <c r="F74" s="3">
        <v>96.5</v>
      </c>
      <c r="G74" s="3">
        <v>75.099999999999994</v>
      </c>
      <c r="H74" s="3">
        <v>67.5</v>
      </c>
      <c r="I74" s="3">
        <v>87</v>
      </c>
      <c r="J74" s="3">
        <f t="shared" si="12"/>
        <v>82.28</v>
      </c>
      <c r="K74" s="3">
        <v>9</v>
      </c>
      <c r="L74" s="3">
        <v>9</v>
      </c>
      <c r="M74" s="3">
        <v>8</v>
      </c>
      <c r="N74" s="3">
        <v>10</v>
      </c>
      <c r="O74" s="3">
        <v>8</v>
      </c>
      <c r="P74" s="3">
        <f t="shared" si="13"/>
        <v>8.8000000000000007</v>
      </c>
      <c r="Q74" s="3">
        <v>10</v>
      </c>
      <c r="R74" s="3">
        <v>15</v>
      </c>
      <c r="S74" s="3">
        <v>14</v>
      </c>
      <c r="T74" s="3">
        <v>15</v>
      </c>
      <c r="U74" s="3">
        <v>14</v>
      </c>
      <c r="V74" s="3">
        <f t="shared" si="14"/>
        <v>13.6</v>
      </c>
      <c r="W74" s="3">
        <v>12</v>
      </c>
      <c r="X74" s="3">
        <v>17</v>
      </c>
      <c r="Y74" s="3">
        <v>14</v>
      </c>
      <c r="Z74" s="3">
        <v>12</v>
      </c>
      <c r="AA74" s="3">
        <v>14</v>
      </c>
      <c r="AB74" s="3">
        <f t="shared" si="15"/>
        <v>13.8</v>
      </c>
      <c r="AC74" s="3">
        <v>16.5</v>
      </c>
      <c r="AD74" s="3">
        <v>16.399999999999999</v>
      </c>
      <c r="AE74" s="3">
        <v>9.3000000000000007</v>
      </c>
      <c r="AF74" s="3">
        <v>14.7</v>
      </c>
      <c r="AG74" s="3">
        <v>11.5</v>
      </c>
      <c r="AH74" s="3">
        <f t="shared" si="16"/>
        <v>13.680000000000001</v>
      </c>
      <c r="AI74" s="11">
        <v>64.2</v>
      </c>
      <c r="AJ74" s="4">
        <f t="shared" si="17"/>
        <v>475.55508000000003</v>
      </c>
      <c r="AK74" s="5"/>
      <c r="AL74" s="4"/>
    </row>
    <row r="75" spans="1:38" ht="14.4" customHeight="1" x14ac:dyDescent="0.3">
      <c r="A75" s="2">
        <v>73</v>
      </c>
      <c r="B75" s="2" t="s">
        <v>75</v>
      </c>
      <c r="C75" s="3">
        <v>40</v>
      </c>
      <c r="D75" s="14"/>
      <c r="E75" s="3">
        <v>44.5</v>
      </c>
      <c r="F75" s="3">
        <v>40.700000000000003</v>
      </c>
      <c r="G75" s="3">
        <v>50.2</v>
      </c>
      <c r="H75" s="3">
        <v>80.900000000000006</v>
      </c>
      <c r="I75" s="3">
        <v>85.6</v>
      </c>
      <c r="J75" s="3">
        <f t="shared" si="12"/>
        <v>60.379999999999995</v>
      </c>
      <c r="K75" s="3">
        <v>10</v>
      </c>
      <c r="L75" s="3">
        <v>10</v>
      </c>
      <c r="M75" s="3">
        <v>10</v>
      </c>
      <c r="N75" s="3">
        <v>9</v>
      </c>
      <c r="O75" s="3">
        <v>8</v>
      </c>
      <c r="P75" s="3">
        <f t="shared" si="13"/>
        <v>9.4</v>
      </c>
      <c r="Q75" s="3">
        <v>14</v>
      </c>
      <c r="R75" s="3">
        <v>15</v>
      </c>
      <c r="S75" s="3">
        <v>12</v>
      </c>
      <c r="T75" s="3">
        <v>14</v>
      </c>
      <c r="U75" s="3">
        <v>12</v>
      </c>
      <c r="V75" s="3">
        <f t="shared" si="14"/>
        <v>13.4</v>
      </c>
      <c r="W75" s="3">
        <v>15</v>
      </c>
      <c r="X75" s="3">
        <v>14</v>
      </c>
      <c r="Y75" s="3">
        <v>15</v>
      </c>
      <c r="Z75" s="3">
        <v>14</v>
      </c>
      <c r="AA75" s="3">
        <v>14</v>
      </c>
      <c r="AB75" s="3">
        <f t="shared" si="15"/>
        <v>14.4</v>
      </c>
      <c r="AC75" s="3">
        <v>15.5</v>
      </c>
      <c r="AD75" s="3">
        <v>14.3</v>
      </c>
      <c r="AE75" s="3">
        <v>17</v>
      </c>
      <c r="AF75" s="3">
        <v>15</v>
      </c>
      <c r="AG75" s="3">
        <v>17.399999999999999</v>
      </c>
      <c r="AH75" s="3">
        <f t="shared" si="16"/>
        <v>15.839999999999998</v>
      </c>
      <c r="AI75" s="11">
        <v>63.2</v>
      </c>
      <c r="AJ75" s="4">
        <f t="shared" si="17"/>
        <v>468.14767999999998</v>
      </c>
      <c r="AK75" s="8"/>
      <c r="AL75" s="9"/>
    </row>
    <row r="76" spans="1:38" ht="14.4" customHeight="1" x14ac:dyDescent="0.3">
      <c r="A76" s="2">
        <v>74</v>
      </c>
      <c r="B76" s="2" t="s">
        <v>76</v>
      </c>
      <c r="C76" s="3">
        <v>45</v>
      </c>
      <c r="D76" s="14"/>
      <c r="E76" s="3">
        <v>90</v>
      </c>
      <c r="F76" s="3">
        <v>55.9</v>
      </c>
      <c r="G76" s="3">
        <v>45.3</v>
      </c>
      <c r="H76" s="3">
        <v>65.7</v>
      </c>
      <c r="I76" s="3">
        <v>80.3</v>
      </c>
      <c r="J76" s="3">
        <f t="shared" si="12"/>
        <v>67.44</v>
      </c>
      <c r="K76" s="3">
        <v>11</v>
      </c>
      <c r="L76" s="3">
        <v>12</v>
      </c>
      <c r="M76" s="3">
        <v>10</v>
      </c>
      <c r="N76" s="3">
        <v>10</v>
      </c>
      <c r="O76" s="3">
        <v>11</v>
      </c>
      <c r="P76" s="3">
        <f t="shared" si="13"/>
        <v>10.8</v>
      </c>
      <c r="Q76" s="3">
        <v>17</v>
      </c>
      <c r="R76" s="3">
        <v>28</v>
      </c>
      <c r="S76" s="3">
        <v>14</v>
      </c>
      <c r="T76" s="3">
        <v>14</v>
      </c>
      <c r="U76" s="3">
        <v>12</v>
      </c>
      <c r="V76" s="3">
        <f t="shared" si="14"/>
        <v>17</v>
      </c>
      <c r="W76" s="3">
        <v>15</v>
      </c>
      <c r="X76" s="3">
        <v>13</v>
      </c>
      <c r="Y76" s="3">
        <v>15</v>
      </c>
      <c r="Z76" s="3">
        <v>12</v>
      </c>
      <c r="AA76" s="3">
        <v>16</v>
      </c>
      <c r="AB76" s="3">
        <f t="shared" si="15"/>
        <v>14.2</v>
      </c>
      <c r="AC76" s="3">
        <v>13.9</v>
      </c>
      <c r="AD76" s="3">
        <v>17</v>
      </c>
      <c r="AE76" s="3">
        <v>15.9</v>
      </c>
      <c r="AF76" s="3">
        <v>18.100000000000001</v>
      </c>
      <c r="AG76" s="3">
        <v>18.3</v>
      </c>
      <c r="AH76" s="3">
        <f t="shared" si="16"/>
        <v>16.64</v>
      </c>
      <c r="AI76" s="11">
        <v>56.79</v>
      </c>
      <c r="AJ76" s="4">
        <f t="shared" si="17"/>
        <v>420.666246</v>
      </c>
      <c r="AK76" s="8"/>
      <c r="AL76" s="9"/>
    </row>
    <row r="77" spans="1:38" ht="14.4" customHeight="1" x14ac:dyDescent="0.3">
      <c r="A77" s="2">
        <v>75</v>
      </c>
      <c r="B77" s="2" t="s">
        <v>77</v>
      </c>
      <c r="C77" s="3">
        <v>45</v>
      </c>
      <c r="D77" s="14"/>
      <c r="E77" s="3">
        <v>45.9</v>
      </c>
      <c r="F77" s="3">
        <v>48.7</v>
      </c>
      <c r="G77" s="3">
        <v>55.1</v>
      </c>
      <c r="H77" s="3">
        <v>35.5</v>
      </c>
      <c r="I77" s="3">
        <v>96.5</v>
      </c>
      <c r="J77" s="3">
        <f t="shared" si="12"/>
        <v>56.339999999999996</v>
      </c>
      <c r="K77" s="3">
        <v>8</v>
      </c>
      <c r="L77" s="3">
        <v>8</v>
      </c>
      <c r="M77" s="3">
        <v>9</v>
      </c>
      <c r="N77" s="3">
        <v>7</v>
      </c>
      <c r="O77" s="3">
        <v>9</v>
      </c>
      <c r="P77" s="3">
        <f t="shared" si="13"/>
        <v>8.1999999999999993</v>
      </c>
      <c r="Q77" s="3">
        <v>12</v>
      </c>
      <c r="R77" s="3">
        <v>13</v>
      </c>
      <c r="S77" s="3">
        <v>17</v>
      </c>
      <c r="T77" s="3">
        <v>14</v>
      </c>
      <c r="U77" s="3">
        <v>10</v>
      </c>
      <c r="V77" s="3">
        <f t="shared" si="14"/>
        <v>13.2</v>
      </c>
      <c r="W77" s="3">
        <v>15</v>
      </c>
      <c r="X77" s="3">
        <v>15</v>
      </c>
      <c r="Y77" s="3">
        <v>15</v>
      </c>
      <c r="Z77" s="3">
        <v>15</v>
      </c>
      <c r="AA77" s="3">
        <v>14</v>
      </c>
      <c r="AB77" s="3">
        <f t="shared" si="15"/>
        <v>14.8</v>
      </c>
      <c r="AC77" s="3">
        <v>15.4</v>
      </c>
      <c r="AD77" s="3">
        <v>14.1</v>
      </c>
      <c r="AE77" s="3">
        <v>17.399999999999999</v>
      </c>
      <c r="AF77" s="3">
        <v>15.4</v>
      </c>
      <c r="AG77" s="3">
        <v>17.399999999999999</v>
      </c>
      <c r="AH77" s="3">
        <f t="shared" si="16"/>
        <v>15.939999999999998</v>
      </c>
      <c r="AI77" s="11">
        <v>63</v>
      </c>
      <c r="AJ77" s="4">
        <f t="shared" si="17"/>
        <v>466.66619999999995</v>
      </c>
      <c r="AK77" s="5"/>
      <c r="AL77" s="4"/>
    </row>
    <row r="78" spans="1:38" ht="14.4" customHeight="1" x14ac:dyDescent="0.3">
      <c r="A78" s="2">
        <v>76</v>
      </c>
      <c r="B78" s="2" t="s">
        <v>78</v>
      </c>
      <c r="C78" s="3">
        <v>45</v>
      </c>
      <c r="D78" s="14"/>
      <c r="E78" s="3">
        <v>85</v>
      </c>
      <c r="F78" s="3">
        <v>90.1</v>
      </c>
      <c r="G78" s="3">
        <v>75.3</v>
      </c>
      <c r="H78" s="3">
        <v>80.400000000000006</v>
      </c>
      <c r="I78" s="3">
        <v>56.4</v>
      </c>
      <c r="J78" s="3">
        <f t="shared" si="12"/>
        <v>77.439999999999984</v>
      </c>
      <c r="K78" s="3">
        <v>6</v>
      </c>
      <c r="L78" s="3">
        <v>7</v>
      </c>
      <c r="M78" s="3">
        <v>7</v>
      </c>
      <c r="N78" s="3">
        <v>9</v>
      </c>
      <c r="O78" s="3">
        <v>8</v>
      </c>
      <c r="P78" s="3">
        <f t="shared" si="13"/>
        <v>7.4</v>
      </c>
      <c r="Q78" s="3">
        <v>15</v>
      </c>
      <c r="R78" s="3">
        <v>11</v>
      </c>
      <c r="S78" s="3">
        <v>12</v>
      </c>
      <c r="T78" s="3">
        <v>15</v>
      </c>
      <c r="U78" s="3">
        <v>12</v>
      </c>
      <c r="V78" s="3">
        <f t="shared" si="14"/>
        <v>13</v>
      </c>
      <c r="W78" s="3">
        <v>12</v>
      </c>
      <c r="X78" s="3">
        <v>15</v>
      </c>
      <c r="Y78" s="3">
        <v>14</v>
      </c>
      <c r="Z78" s="3">
        <v>14</v>
      </c>
      <c r="AA78" s="3">
        <v>15</v>
      </c>
      <c r="AB78" s="3">
        <f t="shared" si="15"/>
        <v>14</v>
      </c>
      <c r="AC78" s="3">
        <v>13.6</v>
      </c>
      <c r="AD78" s="3">
        <v>17.3</v>
      </c>
      <c r="AE78" s="3">
        <v>15.2</v>
      </c>
      <c r="AF78" s="3">
        <v>18.8</v>
      </c>
      <c r="AG78" s="3">
        <v>11</v>
      </c>
      <c r="AH78" s="3">
        <f t="shared" si="16"/>
        <v>15.179999999999998</v>
      </c>
      <c r="AI78" s="11">
        <v>60.8</v>
      </c>
      <c r="AJ78" s="4">
        <f t="shared" si="17"/>
        <v>450.36991999999998</v>
      </c>
      <c r="AK78" s="5"/>
      <c r="AL78" s="9"/>
    </row>
    <row r="79" spans="1:38" ht="14.4" customHeight="1" x14ac:dyDescent="0.3">
      <c r="A79" s="2">
        <v>77</v>
      </c>
      <c r="B79" s="2" t="s">
        <v>79</v>
      </c>
      <c r="C79" s="3">
        <v>47</v>
      </c>
      <c r="D79" s="14"/>
      <c r="E79" s="3">
        <v>45.5</v>
      </c>
      <c r="F79" s="3">
        <v>90.5</v>
      </c>
      <c r="G79" s="3">
        <v>110.3</v>
      </c>
      <c r="H79" s="3">
        <v>65.599999999999994</v>
      </c>
      <c r="I79" s="3">
        <v>56.1</v>
      </c>
      <c r="J79" s="3">
        <f t="shared" si="12"/>
        <v>73.599999999999994</v>
      </c>
      <c r="K79" s="3">
        <v>7</v>
      </c>
      <c r="L79" s="3">
        <v>6</v>
      </c>
      <c r="M79" s="3">
        <v>6</v>
      </c>
      <c r="N79" s="3">
        <v>7</v>
      </c>
      <c r="O79" s="3">
        <v>6</v>
      </c>
      <c r="P79" s="3">
        <f t="shared" si="13"/>
        <v>6.4</v>
      </c>
      <c r="Q79" s="3">
        <v>13</v>
      </c>
      <c r="R79" s="3">
        <v>11</v>
      </c>
      <c r="S79" s="3">
        <v>14</v>
      </c>
      <c r="T79" s="3">
        <v>11</v>
      </c>
      <c r="U79" s="3">
        <v>13</v>
      </c>
      <c r="V79" s="3">
        <f t="shared" si="14"/>
        <v>12.4</v>
      </c>
      <c r="W79" s="3">
        <v>16</v>
      </c>
      <c r="X79" s="3">
        <v>13</v>
      </c>
      <c r="Y79" s="3">
        <v>13</v>
      </c>
      <c r="Z79" s="3">
        <v>14</v>
      </c>
      <c r="AA79" s="3">
        <v>14</v>
      </c>
      <c r="AB79" s="3">
        <f t="shared" si="15"/>
        <v>14</v>
      </c>
      <c r="AC79" s="3">
        <v>15.8</v>
      </c>
      <c r="AD79" s="3">
        <v>12.6</v>
      </c>
      <c r="AE79" s="3">
        <v>12.6</v>
      </c>
      <c r="AF79" s="3">
        <v>12.1</v>
      </c>
      <c r="AG79" s="3">
        <v>20.9</v>
      </c>
      <c r="AH79" s="3">
        <f t="shared" si="16"/>
        <v>14.8</v>
      </c>
      <c r="AI79" s="11">
        <v>58.14</v>
      </c>
      <c r="AJ79" s="4">
        <f t="shared" si="17"/>
        <v>430.66623599999997</v>
      </c>
      <c r="AK79" s="8"/>
      <c r="AL79" s="9"/>
    </row>
    <row r="80" spans="1:38" ht="14.4" customHeight="1" x14ac:dyDescent="0.3">
      <c r="A80" s="2">
        <v>78</v>
      </c>
      <c r="B80" s="2" t="s">
        <v>80</v>
      </c>
      <c r="C80" s="3">
        <v>47</v>
      </c>
      <c r="D80" s="14"/>
      <c r="E80" s="3">
        <v>65.900000000000006</v>
      </c>
      <c r="F80" s="3">
        <v>55.7</v>
      </c>
      <c r="G80" s="3">
        <v>35.200000000000003</v>
      </c>
      <c r="H80" s="3">
        <v>35.299999999999997</v>
      </c>
      <c r="I80" s="3">
        <v>40.799999999999997</v>
      </c>
      <c r="J80" s="3">
        <f t="shared" si="12"/>
        <v>46.580000000000005</v>
      </c>
      <c r="K80" s="3">
        <v>6</v>
      </c>
      <c r="L80" s="3">
        <v>8</v>
      </c>
      <c r="M80" s="3">
        <v>8</v>
      </c>
      <c r="N80" s="3">
        <v>9</v>
      </c>
      <c r="O80" s="3">
        <v>7</v>
      </c>
      <c r="P80" s="3">
        <f t="shared" si="13"/>
        <v>7.6</v>
      </c>
      <c r="Q80" s="3">
        <v>13</v>
      </c>
      <c r="R80" s="3">
        <v>15</v>
      </c>
      <c r="S80" s="3">
        <v>12</v>
      </c>
      <c r="T80" s="3">
        <v>14</v>
      </c>
      <c r="U80" s="3">
        <v>11</v>
      </c>
      <c r="V80" s="3">
        <f t="shared" si="14"/>
        <v>13</v>
      </c>
      <c r="W80" s="3">
        <v>15</v>
      </c>
      <c r="X80" s="3">
        <v>14</v>
      </c>
      <c r="Y80" s="3">
        <v>15</v>
      </c>
      <c r="Z80" s="3">
        <v>18</v>
      </c>
      <c r="AA80" s="3">
        <v>16</v>
      </c>
      <c r="AB80" s="3">
        <f t="shared" si="15"/>
        <v>15.6</v>
      </c>
      <c r="AC80" s="3">
        <v>15.2</v>
      </c>
      <c r="AD80" s="3">
        <v>13.1</v>
      </c>
      <c r="AE80" s="3">
        <v>13.1</v>
      </c>
      <c r="AF80" s="3">
        <v>20.5</v>
      </c>
      <c r="AG80" s="3">
        <v>19.899999999999999</v>
      </c>
      <c r="AH80" s="3">
        <f t="shared" si="16"/>
        <v>16.36</v>
      </c>
      <c r="AI80" s="11">
        <v>99.5</v>
      </c>
      <c r="AJ80" s="4">
        <f t="shared" si="17"/>
        <v>737.03629999999998</v>
      </c>
      <c r="AK80" s="8"/>
      <c r="AL80" s="9"/>
    </row>
    <row r="81" spans="1:38" ht="14.4" customHeight="1" x14ac:dyDescent="0.3">
      <c r="A81" s="2">
        <v>79</v>
      </c>
      <c r="B81" s="2" t="s">
        <v>81</v>
      </c>
      <c r="C81" s="3">
        <v>47</v>
      </c>
      <c r="D81" s="14"/>
      <c r="E81" s="3">
        <v>95.5</v>
      </c>
      <c r="F81" s="3">
        <v>45.7</v>
      </c>
      <c r="G81" s="3">
        <v>65.2</v>
      </c>
      <c r="H81" s="3">
        <v>78.8</v>
      </c>
      <c r="I81" s="3">
        <v>55.3</v>
      </c>
      <c r="J81" s="3">
        <f t="shared" si="12"/>
        <v>68.099999999999994</v>
      </c>
      <c r="K81" s="3">
        <v>5</v>
      </c>
      <c r="L81" s="3">
        <v>4</v>
      </c>
      <c r="M81" s="3">
        <v>5</v>
      </c>
      <c r="N81" s="3">
        <v>6</v>
      </c>
      <c r="O81" s="3">
        <v>5</v>
      </c>
      <c r="P81" s="3">
        <f t="shared" si="13"/>
        <v>5</v>
      </c>
      <c r="Q81" s="3">
        <v>12</v>
      </c>
      <c r="R81" s="3">
        <v>11</v>
      </c>
      <c r="S81" s="3">
        <v>10</v>
      </c>
      <c r="T81" s="3">
        <v>11</v>
      </c>
      <c r="U81" s="3">
        <v>12</v>
      </c>
      <c r="V81" s="3">
        <f t="shared" si="14"/>
        <v>11.2</v>
      </c>
      <c r="W81" s="3">
        <v>17</v>
      </c>
      <c r="X81" s="3">
        <v>14</v>
      </c>
      <c r="Y81" s="3">
        <v>13</v>
      </c>
      <c r="Z81" s="3">
        <v>14</v>
      </c>
      <c r="AA81" s="3">
        <v>12</v>
      </c>
      <c r="AB81" s="3">
        <f t="shared" si="15"/>
        <v>14</v>
      </c>
      <c r="AC81" s="3">
        <v>15.2</v>
      </c>
      <c r="AD81" s="3">
        <v>14.3</v>
      </c>
      <c r="AE81" s="3">
        <v>14.1</v>
      </c>
      <c r="AF81" s="3">
        <v>14.6</v>
      </c>
      <c r="AG81" s="3">
        <v>15.4</v>
      </c>
      <c r="AH81" s="3">
        <f t="shared" si="16"/>
        <v>14.720000000000002</v>
      </c>
      <c r="AI81" s="11">
        <v>55.6</v>
      </c>
      <c r="AJ81" s="4">
        <f t="shared" si="17"/>
        <v>411.85144000000003</v>
      </c>
      <c r="AK81" s="5"/>
      <c r="AL81" s="4"/>
    </row>
    <row r="82" spans="1:38" ht="14.4" customHeight="1" x14ac:dyDescent="0.3">
      <c r="A82" s="2">
        <v>80</v>
      </c>
      <c r="B82" s="2" t="s">
        <v>82</v>
      </c>
      <c r="C82" s="3">
        <v>43</v>
      </c>
      <c r="D82" s="14"/>
      <c r="E82" s="3">
        <v>35.6</v>
      </c>
      <c r="F82" s="3">
        <v>38.9</v>
      </c>
      <c r="G82" s="3">
        <v>40.5</v>
      </c>
      <c r="H82" s="3">
        <v>56.7</v>
      </c>
      <c r="I82" s="3">
        <v>67.7</v>
      </c>
      <c r="J82" s="3">
        <f t="shared" si="12"/>
        <v>47.879999999999995</v>
      </c>
      <c r="K82" s="3">
        <v>10</v>
      </c>
      <c r="L82" s="3">
        <v>10</v>
      </c>
      <c r="M82" s="3">
        <v>11</v>
      </c>
      <c r="N82" s="3">
        <v>11</v>
      </c>
      <c r="O82" s="3">
        <v>11</v>
      </c>
      <c r="P82" s="3">
        <f t="shared" si="13"/>
        <v>10.6</v>
      </c>
      <c r="Q82" s="3">
        <v>14</v>
      </c>
      <c r="R82" s="3">
        <v>14</v>
      </c>
      <c r="S82" s="3">
        <v>17</v>
      </c>
      <c r="T82" s="3">
        <v>14</v>
      </c>
      <c r="U82" s="3">
        <v>15</v>
      </c>
      <c r="V82" s="3">
        <f t="shared" si="14"/>
        <v>14.8</v>
      </c>
      <c r="W82" s="3">
        <v>13</v>
      </c>
      <c r="X82" s="3">
        <v>14</v>
      </c>
      <c r="Y82" s="3">
        <v>16</v>
      </c>
      <c r="Z82" s="3">
        <v>15</v>
      </c>
      <c r="AA82" s="3">
        <v>14</v>
      </c>
      <c r="AB82" s="3">
        <f t="shared" si="15"/>
        <v>14.4</v>
      </c>
      <c r="AC82" s="3">
        <v>13</v>
      </c>
      <c r="AD82" s="3">
        <v>16.600000000000001</v>
      </c>
      <c r="AE82" s="3">
        <v>14.1</v>
      </c>
      <c r="AF82" s="3">
        <v>10.5</v>
      </c>
      <c r="AG82" s="3">
        <v>14.3</v>
      </c>
      <c r="AH82" s="3">
        <f t="shared" si="16"/>
        <v>13.7</v>
      </c>
      <c r="AI82" s="11">
        <v>64.8</v>
      </c>
      <c r="AJ82" s="4">
        <f t="shared" si="17"/>
        <v>479.99951999999996</v>
      </c>
      <c r="AK82" s="5"/>
      <c r="AL82" s="4"/>
    </row>
    <row r="83" spans="1:38" ht="14.4" customHeight="1" x14ac:dyDescent="0.3">
      <c r="A83" s="2">
        <v>81</v>
      </c>
      <c r="B83" s="2" t="s">
        <v>83</v>
      </c>
      <c r="C83" s="3">
        <v>43</v>
      </c>
      <c r="D83" s="14"/>
      <c r="E83" s="3">
        <v>70.599999999999994</v>
      </c>
      <c r="F83" s="3">
        <v>96</v>
      </c>
      <c r="G83" s="3">
        <v>44.4</v>
      </c>
      <c r="H83" s="3">
        <v>83.9</v>
      </c>
      <c r="I83" s="3">
        <v>53.7</v>
      </c>
      <c r="J83" s="3">
        <f t="shared" si="12"/>
        <v>69.72</v>
      </c>
      <c r="K83" s="3">
        <v>5</v>
      </c>
      <c r="L83" s="3">
        <v>7</v>
      </c>
      <c r="M83" s="3">
        <v>5</v>
      </c>
      <c r="N83" s="3">
        <v>6</v>
      </c>
      <c r="O83" s="3">
        <v>8</v>
      </c>
      <c r="P83" s="3">
        <f t="shared" si="13"/>
        <v>6.2</v>
      </c>
      <c r="Q83" s="3">
        <v>11</v>
      </c>
      <c r="R83" s="3">
        <v>13</v>
      </c>
      <c r="S83" s="3">
        <v>11</v>
      </c>
      <c r="T83" s="3">
        <v>11</v>
      </c>
      <c r="U83" s="3">
        <v>14</v>
      </c>
      <c r="V83" s="3">
        <f t="shared" si="14"/>
        <v>12</v>
      </c>
      <c r="W83" s="3">
        <v>14</v>
      </c>
      <c r="X83" s="3">
        <v>13</v>
      </c>
      <c r="Y83" s="3">
        <v>14</v>
      </c>
      <c r="Z83" s="3">
        <v>16</v>
      </c>
      <c r="AA83" s="3">
        <v>15</v>
      </c>
      <c r="AB83" s="3">
        <f t="shared" si="15"/>
        <v>14.4</v>
      </c>
      <c r="AC83" s="3">
        <v>8.6999999999999993</v>
      </c>
      <c r="AD83" s="3">
        <v>13.1</v>
      </c>
      <c r="AE83" s="3">
        <v>8.6999999999999993</v>
      </c>
      <c r="AF83" s="3">
        <v>11.8</v>
      </c>
      <c r="AG83" s="3">
        <v>10</v>
      </c>
      <c r="AH83" s="3">
        <f t="shared" si="16"/>
        <v>10.459999999999999</v>
      </c>
      <c r="AI83" s="11">
        <v>58.6</v>
      </c>
      <c r="AJ83" s="4">
        <f t="shared" si="17"/>
        <v>434.07364000000001</v>
      </c>
      <c r="AK83" s="5"/>
      <c r="AL83" s="4"/>
    </row>
    <row r="84" spans="1:38" ht="14.4" customHeight="1" x14ac:dyDescent="0.3">
      <c r="A84" s="2">
        <v>82</v>
      </c>
      <c r="B84" s="2" t="s">
        <v>84</v>
      </c>
      <c r="C84" s="3">
        <v>43</v>
      </c>
      <c r="D84" s="14"/>
      <c r="E84" s="3">
        <v>40.700000000000003</v>
      </c>
      <c r="F84" s="3">
        <v>90.5</v>
      </c>
      <c r="G84" s="3">
        <v>65.7</v>
      </c>
      <c r="H84" s="3">
        <v>56.5</v>
      </c>
      <c r="I84" s="3">
        <v>63.1</v>
      </c>
      <c r="J84" s="3">
        <f t="shared" si="12"/>
        <v>63.3</v>
      </c>
      <c r="K84" s="3">
        <v>5</v>
      </c>
      <c r="L84" s="3">
        <v>5</v>
      </c>
      <c r="M84" s="3">
        <v>6</v>
      </c>
      <c r="N84" s="3">
        <v>4</v>
      </c>
      <c r="O84" s="3">
        <v>5</v>
      </c>
      <c r="P84" s="3">
        <f t="shared" si="13"/>
        <v>5</v>
      </c>
      <c r="Q84" s="3">
        <v>12</v>
      </c>
      <c r="R84" s="3">
        <v>10</v>
      </c>
      <c r="S84" s="3">
        <v>13</v>
      </c>
      <c r="T84" s="3">
        <v>12</v>
      </c>
      <c r="U84" s="3">
        <v>11</v>
      </c>
      <c r="V84" s="3">
        <f t="shared" si="14"/>
        <v>11.6</v>
      </c>
      <c r="W84" s="3">
        <v>13</v>
      </c>
      <c r="X84" s="3">
        <v>13</v>
      </c>
      <c r="Y84" s="3">
        <v>14</v>
      </c>
      <c r="Z84" s="3">
        <v>15</v>
      </c>
      <c r="AA84" s="3">
        <v>14</v>
      </c>
      <c r="AB84" s="3">
        <f t="shared" si="15"/>
        <v>13.8</v>
      </c>
      <c r="AC84" s="3">
        <v>15</v>
      </c>
      <c r="AD84" s="3">
        <v>14.8</v>
      </c>
      <c r="AE84" s="3">
        <v>14.1</v>
      </c>
      <c r="AF84" s="3">
        <v>12.3</v>
      </c>
      <c r="AG84" s="3">
        <v>14.4</v>
      </c>
      <c r="AH84" s="3">
        <f t="shared" si="16"/>
        <v>14.120000000000001</v>
      </c>
      <c r="AI84" s="11">
        <v>62.8</v>
      </c>
      <c r="AJ84" s="4">
        <f t="shared" si="17"/>
        <v>465.18471999999997</v>
      </c>
      <c r="AK84" s="5"/>
      <c r="AL84" s="4"/>
    </row>
    <row r="85" spans="1:38" ht="14.4" customHeight="1" x14ac:dyDescent="0.3">
      <c r="A85" s="2">
        <v>83</v>
      </c>
      <c r="B85" s="2" t="s">
        <v>85</v>
      </c>
      <c r="C85" s="3">
        <v>43</v>
      </c>
      <c r="D85" s="14"/>
      <c r="E85" s="3">
        <v>65.599999999999994</v>
      </c>
      <c r="F85" s="3">
        <v>55.6</v>
      </c>
      <c r="G85" s="3">
        <v>35.799999999999997</v>
      </c>
      <c r="H85" s="3">
        <v>35.1</v>
      </c>
      <c r="I85" s="3">
        <v>40.6</v>
      </c>
      <c r="J85" s="3">
        <f t="shared" si="12"/>
        <v>46.54</v>
      </c>
      <c r="K85" s="3">
        <v>5</v>
      </c>
      <c r="L85" s="3">
        <v>5</v>
      </c>
      <c r="M85" s="3">
        <v>6</v>
      </c>
      <c r="N85" s="3">
        <v>4</v>
      </c>
      <c r="O85" s="3">
        <v>5</v>
      </c>
      <c r="P85" s="3">
        <f t="shared" si="13"/>
        <v>5</v>
      </c>
      <c r="Q85" s="3">
        <v>10</v>
      </c>
      <c r="R85" s="3">
        <v>13</v>
      </c>
      <c r="S85" s="3">
        <v>12</v>
      </c>
      <c r="T85" s="3">
        <v>10</v>
      </c>
      <c r="U85" s="3">
        <v>12</v>
      </c>
      <c r="V85" s="3">
        <f t="shared" si="14"/>
        <v>11.4</v>
      </c>
      <c r="W85" s="3">
        <v>16</v>
      </c>
      <c r="X85" s="3">
        <v>15</v>
      </c>
      <c r="Y85" s="3">
        <v>15</v>
      </c>
      <c r="Z85" s="3">
        <v>13</v>
      </c>
      <c r="AA85" s="3">
        <v>12</v>
      </c>
      <c r="AB85" s="3">
        <f t="shared" si="15"/>
        <v>14.2</v>
      </c>
      <c r="AC85" s="3">
        <v>12.2</v>
      </c>
      <c r="AD85" s="3">
        <v>14.8</v>
      </c>
      <c r="AE85" s="3">
        <v>14.5</v>
      </c>
      <c r="AF85" s="3">
        <v>14.6</v>
      </c>
      <c r="AG85" s="3">
        <v>12.5</v>
      </c>
      <c r="AH85" s="3">
        <f t="shared" si="16"/>
        <v>13.719999999999999</v>
      </c>
      <c r="AI85" s="11">
        <v>52.5</v>
      </c>
      <c r="AJ85" s="4">
        <f t="shared" si="17"/>
        <v>388.88850000000002</v>
      </c>
      <c r="AK85" s="5"/>
      <c r="AL85" s="4"/>
    </row>
    <row r="86" spans="1:38" ht="14.4" customHeight="1" x14ac:dyDescent="0.3">
      <c r="A86" s="2">
        <v>84</v>
      </c>
      <c r="B86" s="10" t="s">
        <v>30</v>
      </c>
      <c r="C86" s="6">
        <v>40</v>
      </c>
      <c r="D86" s="15"/>
      <c r="E86" s="6">
        <v>68.3</v>
      </c>
      <c r="F86" s="6">
        <v>69.400000000000006</v>
      </c>
      <c r="G86" s="6">
        <v>68.7</v>
      </c>
      <c r="H86" s="6">
        <v>69.099999999999994</v>
      </c>
      <c r="I86" s="6">
        <v>69</v>
      </c>
      <c r="J86" s="6">
        <f t="shared" si="12"/>
        <v>68.900000000000006</v>
      </c>
      <c r="K86" s="6">
        <v>6</v>
      </c>
      <c r="L86" s="6">
        <v>7</v>
      </c>
      <c r="M86" s="6">
        <v>6</v>
      </c>
      <c r="N86" s="6">
        <v>6</v>
      </c>
      <c r="O86" s="6">
        <v>6</v>
      </c>
      <c r="P86" s="6">
        <f t="shared" si="13"/>
        <v>6.2</v>
      </c>
      <c r="Q86" s="6">
        <v>12</v>
      </c>
      <c r="R86" s="6">
        <v>12</v>
      </c>
      <c r="S86" s="6">
        <v>12</v>
      </c>
      <c r="T86" s="6">
        <v>13</v>
      </c>
      <c r="U86" s="6">
        <v>12</v>
      </c>
      <c r="V86" s="3">
        <f t="shared" si="14"/>
        <v>12.2</v>
      </c>
      <c r="W86" s="6">
        <v>12</v>
      </c>
      <c r="X86" s="6">
        <v>12</v>
      </c>
      <c r="Y86" s="6">
        <v>12</v>
      </c>
      <c r="Z86" s="6">
        <v>12</v>
      </c>
      <c r="AA86" s="6">
        <v>12</v>
      </c>
      <c r="AB86" s="3">
        <f t="shared" si="15"/>
        <v>12</v>
      </c>
      <c r="AC86" s="6">
        <v>13.3</v>
      </c>
      <c r="AD86" s="6">
        <v>13.3</v>
      </c>
      <c r="AE86" s="6">
        <v>13.4</v>
      </c>
      <c r="AF86" s="6">
        <v>13.5</v>
      </c>
      <c r="AG86" s="6">
        <v>13.2</v>
      </c>
      <c r="AH86" s="3">
        <f t="shared" si="16"/>
        <v>13.34</v>
      </c>
      <c r="AI86" s="7">
        <v>52.59</v>
      </c>
      <c r="AJ86" s="4">
        <f t="shared" si="17"/>
        <v>389.55516600000004</v>
      </c>
      <c r="AK86" s="5"/>
      <c r="AL86" s="4"/>
    </row>
    <row r="87" spans="1:38" ht="14.4" customHeight="1" x14ac:dyDescent="0.3">
      <c r="A87" s="2">
        <v>85</v>
      </c>
      <c r="B87" s="10" t="s">
        <v>31</v>
      </c>
      <c r="C87" s="6">
        <v>43</v>
      </c>
      <c r="D87" s="15"/>
      <c r="E87" s="6">
        <v>55.4</v>
      </c>
      <c r="F87" s="6">
        <v>65.099999999999994</v>
      </c>
      <c r="G87" s="6">
        <v>56</v>
      </c>
      <c r="H87" s="6">
        <v>54</v>
      </c>
      <c r="I87" s="6">
        <v>57.1</v>
      </c>
      <c r="J87" s="6">
        <f t="shared" si="12"/>
        <v>57.52</v>
      </c>
      <c r="K87" s="6">
        <v>8</v>
      </c>
      <c r="L87" s="6">
        <v>7</v>
      </c>
      <c r="M87" s="6">
        <v>8</v>
      </c>
      <c r="N87" s="6">
        <v>8</v>
      </c>
      <c r="O87" s="6">
        <v>8</v>
      </c>
      <c r="P87" s="6">
        <f t="shared" si="13"/>
        <v>7.8</v>
      </c>
      <c r="Q87" s="6">
        <v>15</v>
      </c>
      <c r="R87" s="6">
        <v>14</v>
      </c>
      <c r="S87" s="6">
        <v>14</v>
      </c>
      <c r="T87" s="6">
        <v>13</v>
      </c>
      <c r="U87" s="6">
        <v>14</v>
      </c>
      <c r="V87" s="3">
        <f t="shared" si="14"/>
        <v>14</v>
      </c>
      <c r="W87" s="6">
        <v>18</v>
      </c>
      <c r="X87" s="6">
        <v>18</v>
      </c>
      <c r="Y87" s="6">
        <v>17</v>
      </c>
      <c r="Z87" s="6">
        <v>19</v>
      </c>
      <c r="AA87" s="6">
        <v>18</v>
      </c>
      <c r="AB87" s="3">
        <f t="shared" si="15"/>
        <v>18</v>
      </c>
      <c r="AC87" s="6">
        <v>14</v>
      </c>
      <c r="AD87" s="6">
        <v>13.8</v>
      </c>
      <c r="AE87" s="6">
        <v>13.8</v>
      </c>
      <c r="AF87" s="6">
        <v>13.7</v>
      </c>
      <c r="AG87" s="6">
        <v>13.6</v>
      </c>
      <c r="AH87" s="3">
        <f t="shared" si="16"/>
        <v>13.779999999999998</v>
      </c>
      <c r="AI87" s="7">
        <v>54.76</v>
      </c>
      <c r="AJ87" s="4">
        <f t="shared" si="17"/>
        <v>405.62922399999997</v>
      </c>
      <c r="AK87" s="5"/>
      <c r="AL87" s="4"/>
    </row>
    <row r="88" spans="1:38" ht="15.6" customHeight="1" x14ac:dyDescent="0.3">
      <c r="A88" s="2">
        <v>86</v>
      </c>
      <c r="B88" s="10" t="s">
        <v>32</v>
      </c>
      <c r="C88" s="6">
        <v>54</v>
      </c>
      <c r="D88" s="16"/>
      <c r="E88" s="6">
        <v>50</v>
      </c>
      <c r="F88" s="6">
        <v>50</v>
      </c>
      <c r="G88" s="6">
        <v>49.7</v>
      </c>
      <c r="H88" s="6">
        <v>50</v>
      </c>
      <c r="I88" s="6">
        <v>50.5</v>
      </c>
      <c r="J88" s="6">
        <f t="shared" si="12"/>
        <v>50.04</v>
      </c>
      <c r="K88" s="6">
        <v>7</v>
      </c>
      <c r="L88" s="6">
        <v>6</v>
      </c>
      <c r="M88" s="6">
        <v>6</v>
      </c>
      <c r="N88" s="6">
        <v>6</v>
      </c>
      <c r="O88" s="6">
        <v>7</v>
      </c>
      <c r="P88" s="6">
        <f t="shared" si="13"/>
        <v>6.4</v>
      </c>
      <c r="Q88" s="6">
        <v>13</v>
      </c>
      <c r="R88" s="6">
        <v>13</v>
      </c>
      <c r="S88" s="6">
        <v>13</v>
      </c>
      <c r="T88" s="6">
        <v>13</v>
      </c>
      <c r="U88" s="6">
        <v>13</v>
      </c>
      <c r="V88" s="3">
        <f t="shared" si="14"/>
        <v>13</v>
      </c>
      <c r="W88" s="6">
        <v>15</v>
      </c>
      <c r="X88" s="6">
        <v>15</v>
      </c>
      <c r="Y88" s="6">
        <v>14</v>
      </c>
      <c r="Z88" s="6">
        <v>15</v>
      </c>
      <c r="AA88" s="6">
        <v>14</v>
      </c>
      <c r="AB88" s="3">
        <f t="shared" si="15"/>
        <v>14.6</v>
      </c>
      <c r="AC88" s="6">
        <v>14.3</v>
      </c>
      <c r="AD88" s="6">
        <v>14.6</v>
      </c>
      <c r="AE88" s="6">
        <v>14.8</v>
      </c>
      <c r="AF88" s="6">
        <v>14.5</v>
      </c>
      <c r="AG88" s="6">
        <v>14.3</v>
      </c>
      <c r="AH88" s="3">
        <f t="shared" si="16"/>
        <v>14.5</v>
      </c>
      <c r="AI88" s="7">
        <v>60.05</v>
      </c>
      <c r="AJ88" s="4">
        <f t="shared" si="17"/>
        <v>444.81436999999994</v>
      </c>
      <c r="AK88" s="5"/>
      <c r="AL88" s="4"/>
    </row>
    <row r="89" spans="1:38" ht="14.4" customHeight="1" x14ac:dyDescent="0.3">
      <c r="A89" s="2">
        <v>87</v>
      </c>
      <c r="B89" s="10" t="s">
        <v>33</v>
      </c>
      <c r="C89" s="6">
        <v>50</v>
      </c>
      <c r="D89" s="15"/>
      <c r="E89" s="6">
        <v>73.3</v>
      </c>
      <c r="F89" s="6">
        <v>72.900000000000006</v>
      </c>
      <c r="G89" s="6">
        <v>71.8</v>
      </c>
      <c r="H89" s="6">
        <v>72.3</v>
      </c>
      <c r="I89" s="6">
        <v>72.400000000000006</v>
      </c>
      <c r="J89" s="6">
        <f t="shared" si="12"/>
        <v>72.540000000000006</v>
      </c>
      <c r="K89" s="6">
        <v>8</v>
      </c>
      <c r="L89" s="6">
        <v>8</v>
      </c>
      <c r="M89" s="6">
        <v>8</v>
      </c>
      <c r="N89" s="6">
        <v>8</v>
      </c>
      <c r="O89" s="6">
        <v>8</v>
      </c>
      <c r="P89" s="6">
        <f t="shared" si="13"/>
        <v>8</v>
      </c>
      <c r="Q89" s="6">
        <v>14</v>
      </c>
      <c r="R89" s="6">
        <v>14</v>
      </c>
      <c r="S89" s="6">
        <v>15</v>
      </c>
      <c r="T89" s="6">
        <v>14</v>
      </c>
      <c r="U89" s="6">
        <v>15</v>
      </c>
      <c r="V89" s="3">
        <f t="shared" si="14"/>
        <v>14.4</v>
      </c>
      <c r="W89" s="6">
        <v>14</v>
      </c>
      <c r="X89" s="6">
        <v>15</v>
      </c>
      <c r="Y89" s="6">
        <v>15</v>
      </c>
      <c r="Z89" s="6">
        <v>15</v>
      </c>
      <c r="AA89" s="6">
        <v>16</v>
      </c>
      <c r="AB89" s="3">
        <f t="shared" si="15"/>
        <v>15</v>
      </c>
      <c r="AC89" s="6">
        <v>12.9</v>
      </c>
      <c r="AD89" s="6">
        <v>12.3</v>
      </c>
      <c r="AE89" s="6">
        <v>13.9</v>
      </c>
      <c r="AF89" s="6">
        <v>13.3</v>
      </c>
      <c r="AG89" s="6">
        <v>12.3</v>
      </c>
      <c r="AH89" s="3">
        <f t="shared" si="16"/>
        <v>12.940000000000001</v>
      </c>
      <c r="AI89" s="7">
        <v>70.39</v>
      </c>
      <c r="AJ89" s="4">
        <f t="shared" si="17"/>
        <v>521.40688599999999</v>
      </c>
      <c r="AK89" s="5"/>
      <c r="AL89" s="4"/>
    </row>
    <row r="90" spans="1:38" ht="14.4" customHeight="1" x14ac:dyDescent="0.3">
      <c r="A90" s="2">
        <v>88</v>
      </c>
      <c r="B90" s="10" t="s">
        <v>34</v>
      </c>
      <c r="C90" s="6">
        <v>40</v>
      </c>
      <c r="D90" s="15"/>
      <c r="E90" s="6">
        <v>59.8</v>
      </c>
      <c r="F90" s="6">
        <v>63.8</v>
      </c>
      <c r="G90" s="6">
        <v>57.9</v>
      </c>
      <c r="H90" s="6">
        <v>61.7</v>
      </c>
      <c r="I90" s="6">
        <v>63.5</v>
      </c>
      <c r="J90" s="6">
        <f t="shared" si="12"/>
        <v>61.339999999999996</v>
      </c>
      <c r="K90" s="6">
        <v>8</v>
      </c>
      <c r="L90" s="6">
        <v>8</v>
      </c>
      <c r="M90" s="6">
        <v>9</v>
      </c>
      <c r="N90" s="6">
        <v>9</v>
      </c>
      <c r="O90" s="6">
        <v>8</v>
      </c>
      <c r="P90" s="6">
        <f t="shared" si="13"/>
        <v>8.4</v>
      </c>
      <c r="Q90" s="6">
        <v>13</v>
      </c>
      <c r="R90" s="6">
        <v>13</v>
      </c>
      <c r="S90" s="6">
        <v>13</v>
      </c>
      <c r="T90" s="6">
        <v>13</v>
      </c>
      <c r="U90" s="6">
        <v>13</v>
      </c>
      <c r="V90" s="3">
        <f t="shared" si="14"/>
        <v>13</v>
      </c>
      <c r="W90" s="6">
        <v>12</v>
      </c>
      <c r="X90" s="6">
        <v>13</v>
      </c>
      <c r="Y90" s="6">
        <v>13</v>
      </c>
      <c r="Z90" s="6">
        <v>12</v>
      </c>
      <c r="AA90" s="6">
        <v>13</v>
      </c>
      <c r="AB90" s="3">
        <f t="shared" si="15"/>
        <v>12.6</v>
      </c>
      <c r="AC90" s="6">
        <v>12.7</v>
      </c>
      <c r="AD90" s="6">
        <v>12.7</v>
      </c>
      <c r="AE90" s="6">
        <v>12.7</v>
      </c>
      <c r="AF90" s="6">
        <v>12.7</v>
      </c>
      <c r="AG90" s="6">
        <v>12.6</v>
      </c>
      <c r="AH90" s="3">
        <f t="shared" si="16"/>
        <v>12.68</v>
      </c>
      <c r="AI90" s="7">
        <v>78.72</v>
      </c>
      <c r="AJ90" s="4">
        <f t="shared" si="17"/>
        <v>583.11052799999993</v>
      </c>
      <c r="AK90" s="5"/>
      <c r="AL90" s="4"/>
    </row>
    <row r="91" spans="1:38" ht="14.4" customHeight="1" x14ac:dyDescent="0.3">
      <c r="A91" s="2">
        <v>89</v>
      </c>
      <c r="B91" s="2" t="s">
        <v>86</v>
      </c>
      <c r="C91" s="3">
        <v>48</v>
      </c>
      <c r="D91" s="14"/>
      <c r="E91" s="3">
        <v>50.6</v>
      </c>
      <c r="F91" s="3">
        <v>90.6</v>
      </c>
      <c r="G91" s="3">
        <v>40.6</v>
      </c>
      <c r="H91" s="3">
        <v>45.1</v>
      </c>
      <c r="I91" s="3">
        <v>53.2</v>
      </c>
      <c r="J91" s="3">
        <f t="shared" si="12"/>
        <v>56.019999999999996</v>
      </c>
      <c r="K91" s="3">
        <v>9</v>
      </c>
      <c r="L91" s="3">
        <v>8</v>
      </c>
      <c r="M91" s="3">
        <v>9</v>
      </c>
      <c r="N91" s="3">
        <v>8</v>
      </c>
      <c r="O91" s="3">
        <v>8</v>
      </c>
      <c r="P91" s="3">
        <f t="shared" si="13"/>
        <v>8.4</v>
      </c>
      <c r="Q91" s="3">
        <v>12</v>
      </c>
      <c r="R91" s="3">
        <v>14</v>
      </c>
      <c r="S91" s="3">
        <v>12</v>
      </c>
      <c r="T91" s="3">
        <v>15</v>
      </c>
      <c r="U91" s="3">
        <v>14</v>
      </c>
      <c r="V91" s="3">
        <f t="shared" si="14"/>
        <v>13.4</v>
      </c>
      <c r="W91" s="3">
        <v>16</v>
      </c>
      <c r="X91" s="3">
        <v>18</v>
      </c>
      <c r="Y91" s="3">
        <v>15</v>
      </c>
      <c r="Z91" s="3">
        <v>18</v>
      </c>
      <c r="AA91" s="3">
        <v>17</v>
      </c>
      <c r="AB91" s="3">
        <f t="shared" si="15"/>
        <v>16.8</v>
      </c>
      <c r="AC91" s="3">
        <v>17.399999999999999</v>
      </c>
      <c r="AD91" s="3">
        <v>14.1</v>
      </c>
      <c r="AE91" s="3">
        <v>13.3</v>
      </c>
      <c r="AF91" s="3">
        <v>17.399999999999999</v>
      </c>
      <c r="AG91" s="3">
        <v>15</v>
      </c>
      <c r="AH91" s="3">
        <f t="shared" si="16"/>
        <v>15.439999999999998</v>
      </c>
      <c r="AI91" s="11">
        <v>86.46</v>
      </c>
      <c r="AJ91" s="4">
        <f t="shared" si="17"/>
        <v>640.44380399999989</v>
      </c>
      <c r="AK91" s="5"/>
      <c r="AL91" s="4"/>
    </row>
    <row r="92" spans="1:38" ht="14.4" customHeight="1" x14ac:dyDescent="0.3">
      <c r="A92" s="2">
        <v>90</v>
      </c>
      <c r="B92" s="2" t="s">
        <v>87</v>
      </c>
      <c r="C92" s="3">
        <v>43</v>
      </c>
      <c r="D92" s="14"/>
      <c r="E92" s="3">
        <v>52.5</v>
      </c>
      <c r="F92" s="3">
        <v>49.2</v>
      </c>
      <c r="G92" s="3">
        <v>56.9</v>
      </c>
      <c r="H92" s="3">
        <v>66.2</v>
      </c>
      <c r="I92" s="3">
        <v>54.2</v>
      </c>
      <c r="J92" s="3">
        <f t="shared" si="12"/>
        <v>55.8</v>
      </c>
      <c r="K92" s="3">
        <v>6</v>
      </c>
      <c r="L92" s="3">
        <v>6</v>
      </c>
      <c r="M92" s="3">
        <v>6</v>
      </c>
      <c r="N92" s="3">
        <v>7</v>
      </c>
      <c r="O92" s="3">
        <v>7</v>
      </c>
      <c r="P92" s="3">
        <f t="shared" si="13"/>
        <v>6.4</v>
      </c>
      <c r="Q92" s="3">
        <v>15</v>
      </c>
      <c r="R92" s="3">
        <v>11</v>
      </c>
      <c r="S92" s="3">
        <v>12</v>
      </c>
      <c r="T92" s="3">
        <v>11</v>
      </c>
      <c r="U92" s="3">
        <v>11</v>
      </c>
      <c r="V92" s="3">
        <f t="shared" si="14"/>
        <v>12</v>
      </c>
      <c r="W92" s="3">
        <v>15</v>
      </c>
      <c r="X92" s="3">
        <v>16</v>
      </c>
      <c r="Y92" s="3">
        <v>15</v>
      </c>
      <c r="Z92" s="3">
        <v>16</v>
      </c>
      <c r="AA92" s="3">
        <v>15</v>
      </c>
      <c r="AB92" s="3">
        <f t="shared" si="15"/>
        <v>15.4</v>
      </c>
      <c r="AC92" s="3">
        <v>14.3</v>
      </c>
      <c r="AD92" s="3">
        <v>13</v>
      </c>
      <c r="AE92" s="3">
        <v>12.1</v>
      </c>
      <c r="AF92" s="3">
        <v>11.8</v>
      </c>
      <c r="AG92" s="3">
        <v>10.9</v>
      </c>
      <c r="AH92" s="3">
        <f t="shared" si="16"/>
        <v>12.42</v>
      </c>
      <c r="AI92" s="11">
        <v>74.02</v>
      </c>
      <c r="AJ92" s="4">
        <f t="shared" si="17"/>
        <v>548.29574799999989</v>
      </c>
      <c r="AK92" s="8"/>
      <c r="AL92" s="9"/>
    </row>
    <row r="93" spans="1:38" ht="14.4" customHeight="1" x14ac:dyDescent="0.3">
      <c r="A93" s="2">
        <v>91</v>
      </c>
      <c r="B93" s="2" t="s">
        <v>88</v>
      </c>
      <c r="C93" s="3">
        <v>45</v>
      </c>
      <c r="D93" s="14"/>
      <c r="E93" s="3">
        <v>54.1</v>
      </c>
      <c r="F93" s="3">
        <v>78.7</v>
      </c>
      <c r="G93" s="3">
        <v>98.3</v>
      </c>
      <c r="H93" s="3">
        <v>32.299999999999997</v>
      </c>
      <c r="I93" s="3">
        <v>45.9</v>
      </c>
      <c r="J93" s="3">
        <f t="shared" si="12"/>
        <v>61.86</v>
      </c>
      <c r="K93" s="3">
        <v>11</v>
      </c>
      <c r="L93" s="3">
        <v>10</v>
      </c>
      <c r="M93" s="3">
        <v>11</v>
      </c>
      <c r="N93" s="3">
        <v>11</v>
      </c>
      <c r="O93" s="3">
        <v>8</v>
      </c>
      <c r="P93" s="3">
        <f t="shared" si="13"/>
        <v>10.199999999999999</v>
      </c>
      <c r="Q93" s="3">
        <v>14</v>
      </c>
      <c r="R93" s="3">
        <v>14</v>
      </c>
      <c r="S93" s="3">
        <v>14</v>
      </c>
      <c r="T93" s="3">
        <v>14</v>
      </c>
      <c r="U93" s="3">
        <v>14</v>
      </c>
      <c r="V93" s="3">
        <f t="shared" si="14"/>
        <v>14</v>
      </c>
      <c r="W93" s="3">
        <v>16</v>
      </c>
      <c r="X93" s="3">
        <v>16</v>
      </c>
      <c r="Y93" s="3">
        <v>14</v>
      </c>
      <c r="Z93" s="3">
        <v>12</v>
      </c>
      <c r="AA93" s="3">
        <v>13</v>
      </c>
      <c r="AB93" s="3">
        <f t="shared" si="15"/>
        <v>14.2</v>
      </c>
      <c r="AC93" s="3">
        <v>13.5</v>
      </c>
      <c r="AD93" s="3">
        <v>18.399999999999999</v>
      </c>
      <c r="AE93" s="3">
        <v>12.6</v>
      </c>
      <c r="AF93" s="3">
        <v>15.4</v>
      </c>
      <c r="AG93" s="3">
        <v>8.8000000000000007</v>
      </c>
      <c r="AH93" s="3">
        <f t="shared" si="16"/>
        <v>13.74</v>
      </c>
      <c r="AI93" s="11">
        <v>58.2</v>
      </c>
      <c r="AJ93" s="4">
        <f t="shared" si="17"/>
        <v>431.11068</v>
      </c>
      <c r="AK93" s="5"/>
      <c r="AL93" s="4"/>
    </row>
    <row r="94" spans="1:38" ht="14.4" customHeight="1" x14ac:dyDescent="0.3">
      <c r="A94" s="2">
        <v>92</v>
      </c>
      <c r="B94" s="2" t="s">
        <v>89</v>
      </c>
      <c r="C94" s="3">
        <v>45</v>
      </c>
      <c r="D94" s="14"/>
      <c r="E94" s="3">
        <v>85.7</v>
      </c>
      <c r="F94" s="3">
        <v>95.2</v>
      </c>
      <c r="G94" s="3">
        <v>85.1</v>
      </c>
      <c r="H94" s="3">
        <v>90.6</v>
      </c>
      <c r="I94" s="3">
        <v>97.3</v>
      </c>
      <c r="J94" s="3">
        <f t="shared" si="12"/>
        <v>90.78</v>
      </c>
      <c r="K94" s="3">
        <v>5</v>
      </c>
      <c r="L94" s="3">
        <v>4</v>
      </c>
      <c r="M94" s="3">
        <v>4</v>
      </c>
      <c r="N94" s="3">
        <v>5</v>
      </c>
      <c r="O94" s="3">
        <v>5</v>
      </c>
      <c r="P94" s="3">
        <f t="shared" si="13"/>
        <v>4.5999999999999996</v>
      </c>
      <c r="Q94" s="3">
        <v>11</v>
      </c>
      <c r="R94" s="3">
        <v>12</v>
      </c>
      <c r="S94" s="3">
        <v>13</v>
      </c>
      <c r="T94" s="3">
        <v>11</v>
      </c>
      <c r="U94" s="3">
        <v>12</v>
      </c>
      <c r="V94" s="3">
        <f t="shared" si="14"/>
        <v>11.8</v>
      </c>
      <c r="W94" s="3">
        <v>15</v>
      </c>
      <c r="X94" s="3">
        <v>15</v>
      </c>
      <c r="Y94" s="3">
        <v>15</v>
      </c>
      <c r="Z94" s="3">
        <v>15</v>
      </c>
      <c r="AA94" s="3">
        <v>13</v>
      </c>
      <c r="AB94" s="3">
        <f t="shared" si="15"/>
        <v>14.6</v>
      </c>
      <c r="AC94" s="3">
        <v>12.4</v>
      </c>
      <c r="AD94" s="3">
        <v>11</v>
      </c>
      <c r="AE94" s="3">
        <v>21</v>
      </c>
      <c r="AF94" s="3">
        <v>17.7</v>
      </c>
      <c r="AG94" s="3">
        <v>18.2</v>
      </c>
      <c r="AH94" s="3">
        <f t="shared" si="16"/>
        <v>16.059999999999999</v>
      </c>
      <c r="AI94" s="11">
        <v>55.8</v>
      </c>
      <c r="AJ94" s="4">
        <f t="shared" si="17"/>
        <v>413.33292</v>
      </c>
      <c r="AK94" s="5"/>
      <c r="AL94" s="4"/>
    </row>
    <row r="95" spans="1:38" ht="14.4" customHeight="1" x14ac:dyDescent="0.3">
      <c r="A95" s="2">
        <v>93</v>
      </c>
      <c r="B95" s="2" t="s">
        <v>90</v>
      </c>
      <c r="C95" s="3">
        <v>45</v>
      </c>
      <c r="D95" s="14"/>
      <c r="E95" s="3">
        <v>35.9</v>
      </c>
      <c r="F95" s="3">
        <v>67.8</v>
      </c>
      <c r="G95" s="3">
        <v>50.9</v>
      </c>
      <c r="H95" s="3">
        <v>42.8</v>
      </c>
      <c r="I95" s="3">
        <v>75.2</v>
      </c>
      <c r="J95" s="3">
        <f t="shared" si="12"/>
        <v>54.519999999999996</v>
      </c>
      <c r="K95" s="3">
        <v>4</v>
      </c>
      <c r="L95" s="3">
        <v>7</v>
      </c>
      <c r="M95" s="3">
        <v>7</v>
      </c>
      <c r="N95" s="3">
        <v>5</v>
      </c>
      <c r="O95" s="3">
        <v>4</v>
      </c>
      <c r="P95" s="3">
        <f t="shared" si="13"/>
        <v>5.4</v>
      </c>
      <c r="Q95" s="3">
        <v>12</v>
      </c>
      <c r="R95" s="3">
        <v>11</v>
      </c>
      <c r="S95" s="3">
        <v>12</v>
      </c>
      <c r="T95" s="3">
        <v>11</v>
      </c>
      <c r="U95" s="3">
        <v>13</v>
      </c>
      <c r="V95" s="3">
        <f t="shared" si="14"/>
        <v>11.8</v>
      </c>
      <c r="W95" s="3">
        <v>12</v>
      </c>
      <c r="X95" s="3">
        <v>14</v>
      </c>
      <c r="Y95" s="3">
        <v>13</v>
      </c>
      <c r="Z95" s="3">
        <v>13</v>
      </c>
      <c r="AA95" s="3">
        <v>14</v>
      </c>
      <c r="AB95" s="3">
        <f t="shared" si="15"/>
        <v>13.2</v>
      </c>
      <c r="AC95" s="3">
        <v>17.2</v>
      </c>
      <c r="AD95" s="3">
        <v>16.5</v>
      </c>
      <c r="AE95" s="3">
        <v>17.100000000000001</v>
      </c>
      <c r="AF95" s="3">
        <v>18.399999999999999</v>
      </c>
      <c r="AG95" s="3">
        <v>20.7</v>
      </c>
      <c r="AH95" s="3">
        <f t="shared" si="16"/>
        <v>17.98</v>
      </c>
      <c r="AI95" s="11">
        <v>61.8</v>
      </c>
      <c r="AJ95" s="4">
        <f t="shared" si="17"/>
        <v>457.77731999999997</v>
      </c>
      <c r="AK95" s="5"/>
      <c r="AL95" s="4"/>
    </row>
    <row r="96" spans="1:38" ht="14.4" customHeight="1" x14ac:dyDescent="0.3">
      <c r="A96" s="2">
        <v>94</v>
      </c>
      <c r="B96" s="2" t="s">
        <v>91</v>
      </c>
      <c r="C96" s="3">
        <v>43</v>
      </c>
      <c r="D96" s="14"/>
      <c r="E96" s="3">
        <v>50.2</v>
      </c>
      <c r="F96" s="3">
        <v>92.7</v>
      </c>
      <c r="G96" s="3">
        <v>60.3</v>
      </c>
      <c r="H96" s="3">
        <v>48.4</v>
      </c>
      <c r="I96" s="3">
        <v>74.2</v>
      </c>
      <c r="J96" s="3">
        <f t="shared" si="12"/>
        <v>65.16</v>
      </c>
      <c r="K96" s="3">
        <v>8</v>
      </c>
      <c r="L96" s="3">
        <v>6</v>
      </c>
      <c r="M96" s="3">
        <v>8</v>
      </c>
      <c r="N96" s="3">
        <v>7</v>
      </c>
      <c r="O96" s="3">
        <v>7</v>
      </c>
      <c r="P96" s="3">
        <f t="shared" si="13"/>
        <v>7.2</v>
      </c>
      <c r="Q96" s="3">
        <v>10</v>
      </c>
      <c r="R96" s="3">
        <v>14</v>
      </c>
      <c r="S96" s="3">
        <v>15</v>
      </c>
      <c r="T96" s="3">
        <v>14</v>
      </c>
      <c r="U96" s="3">
        <v>11</v>
      </c>
      <c r="V96" s="3">
        <f t="shared" si="14"/>
        <v>12.8</v>
      </c>
      <c r="W96" s="3">
        <v>13</v>
      </c>
      <c r="X96" s="3">
        <v>13</v>
      </c>
      <c r="Y96" s="3">
        <v>15</v>
      </c>
      <c r="Z96" s="3">
        <v>15</v>
      </c>
      <c r="AA96" s="3">
        <v>13</v>
      </c>
      <c r="AB96" s="3">
        <f t="shared" si="15"/>
        <v>13.8</v>
      </c>
      <c r="AC96" s="3">
        <v>14.7</v>
      </c>
      <c r="AD96" s="3">
        <v>16.5</v>
      </c>
      <c r="AE96" s="3">
        <v>13</v>
      </c>
      <c r="AF96" s="3">
        <v>10</v>
      </c>
      <c r="AG96" s="3">
        <v>16.7</v>
      </c>
      <c r="AH96" s="3">
        <f t="shared" si="16"/>
        <v>14.180000000000001</v>
      </c>
      <c r="AI96" s="11">
        <v>59.4</v>
      </c>
      <c r="AJ96" s="4">
        <f t="shared" si="17"/>
        <v>439.99955999999992</v>
      </c>
      <c r="AK96" s="5"/>
      <c r="AL96" s="4"/>
    </row>
    <row r="97" spans="1:38" ht="14.4" customHeight="1" x14ac:dyDescent="0.3">
      <c r="A97" s="2">
        <v>95</v>
      </c>
      <c r="B97" s="2" t="s">
        <v>92</v>
      </c>
      <c r="C97" s="3">
        <v>43</v>
      </c>
      <c r="D97" s="14"/>
      <c r="E97" s="3">
        <v>75.400000000000006</v>
      </c>
      <c r="F97" s="3">
        <v>98.1</v>
      </c>
      <c r="G97" s="3">
        <v>90.5</v>
      </c>
      <c r="H97" s="3">
        <v>63.9</v>
      </c>
      <c r="I97" s="3">
        <v>77.599999999999994</v>
      </c>
      <c r="J97" s="3">
        <f t="shared" si="12"/>
        <v>81.099999999999994</v>
      </c>
      <c r="K97" s="3">
        <v>10</v>
      </c>
      <c r="L97" s="3">
        <v>10</v>
      </c>
      <c r="M97" s="3">
        <v>10</v>
      </c>
      <c r="N97" s="3">
        <v>10</v>
      </c>
      <c r="O97" s="3">
        <v>9</v>
      </c>
      <c r="P97" s="3">
        <f t="shared" si="13"/>
        <v>9.8000000000000007</v>
      </c>
      <c r="Q97" s="3">
        <v>11</v>
      </c>
      <c r="R97" s="3">
        <v>24</v>
      </c>
      <c r="S97" s="3">
        <v>13</v>
      </c>
      <c r="T97" s="3">
        <v>12</v>
      </c>
      <c r="U97" s="3">
        <v>10</v>
      </c>
      <c r="V97" s="3">
        <f t="shared" si="14"/>
        <v>14</v>
      </c>
      <c r="W97" s="3">
        <v>15</v>
      </c>
      <c r="X97" s="3">
        <v>14</v>
      </c>
      <c r="Y97" s="3">
        <v>14</v>
      </c>
      <c r="Z97" s="3">
        <v>13</v>
      </c>
      <c r="AA97" s="3">
        <v>14</v>
      </c>
      <c r="AB97" s="3">
        <f t="shared" si="15"/>
        <v>14</v>
      </c>
      <c r="AC97" s="3">
        <v>14.8</v>
      </c>
      <c r="AD97" s="3">
        <v>13.3</v>
      </c>
      <c r="AE97" s="3">
        <v>14.8</v>
      </c>
      <c r="AF97" s="3">
        <v>19</v>
      </c>
      <c r="AG97" s="3">
        <v>14.7</v>
      </c>
      <c r="AH97" s="3">
        <f t="shared" si="16"/>
        <v>15.320000000000002</v>
      </c>
      <c r="AI97" s="11">
        <v>61.6</v>
      </c>
      <c r="AJ97" s="4">
        <f t="shared" si="17"/>
        <v>456.29583999999994</v>
      </c>
      <c r="AK97" s="5"/>
      <c r="AL97" s="4"/>
    </row>
    <row r="98" spans="1:38" ht="14.4" customHeight="1" x14ac:dyDescent="0.3">
      <c r="A98" s="2">
        <v>96</v>
      </c>
      <c r="B98" s="2" t="s">
        <v>93</v>
      </c>
      <c r="C98" s="3">
        <v>43</v>
      </c>
      <c r="D98" s="14"/>
      <c r="E98" s="3">
        <v>65.099999999999994</v>
      </c>
      <c r="F98" s="3">
        <v>40.6</v>
      </c>
      <c r="G98" s="3">
        <v>55.5</v>
      </c>
      <c r="H98" s="3">
        <v>67.2</v>
      </c>
      <c r="I98" s="3">
        <v>72.599999999999994</v>
      </c>
      <c r="J98" s="3">
        <f t="shared" si="12"/>
        <v>60.2</v>
      </c>
      <c r="K98" s="3">
        <v>11</v>
      </c>
      <c r="L98" s="3">
        <v>9</v>
      </c>
      <c r="M98" s="3">
        <v>9</v>
      </c>
      <c r="N98" s="3">
        <v>9</v>
      </c>
      <c r="O98" s="3">
        <v>9</v>
      </c>
      <c r="P98" s="3">
        <f t="shared" si="13"/>
        <v>9.4</v>
      </c>
      <c r="Q98" s="3">
        <v>19</v>
      </c>
      <c r="R98" s="3">
        <v>15</v>
      </c>
      <c r="S98" s="3">
        <v>12</v>
      </c>
      <c r="T98" s="3">
        <v>10</v>
      </c>
      <c r="U98" s="3">
        <v>11</v>
      </c>
      <c r="V98" s="3">
        <f t="shared" si="14"/>
        <v>13.4</v>
      </c>
      <c r="W98" s="3">
        <v>16</v>
      </c>
      <c r="X98" s="3">
        <v>15</v>
      </c>
      <c r="Y98" s="3">
        <v>15</v>
      </c>
      <c r="Z98" s="3">
        <v>16</v>
      </c>
      <c r="AA98" s="3">
        <v>16</v>
      </c>
      <c r="AB98" s="3">
        <f t="shared" si="15"/>
        <v>15.6</v>
      </c>
      <c r="AC98" s="3">
        <v>14.5</v>
      </c>
      <c r="AD98" s="3">
        <v>11.9</v>
      </c>
      <c r="AE98" s="3">
        <v>12</v>
      </c>
      <c r="AF98" s="3">
        <v>14.8</v>
      </c>
      <c r="AG98" s="3">
        <v>15.7</v>
      </c>
      <c r="AH98" s="3">
        <f t="shared" si="16"/>
        <v>13.780000000000001</v>
      </c>
      <c r="AI98" s="11">
        <v>59.2</v>
      </c>
      <c r="AJ98" s="4">
        <f t="shared" si="17"/>
        <v>438.51808</v>
      </c>
      <c r="AK98" s="8"/>
      <c r="AL98" s="9"/>
    </row>
    <row r="99" spans="1:38" ht="14.4" customHeight="1" x14ac:dyDescent="0.3">
      <c r="A99" s="2">
        <v>97</v>
      </c>
      <c r="B99" s="2" t="s">
        <v>94</v>
      </c>
      <c r="C99" s="3">
        <v>45</v>
      </c>
      <c r="D99" s="14"/>
      <c r="E99" s="3">
        <v>85.5</v>
      </c>
      <c r="F99" s="3">
        <v>67.599999999999994</v>
      </c>
      <c r="G99" s="3">
        <v>58</v>
      </c>
      <c r="H99" s="3">
        <v>84.4</v>
      </c>
      <c r="I99" s="3">
        <v>90.7</v>
      </c>
      <c r="J99" s="3">
        <f t="shared" ref="J99:J130" si="18">AVERAGE(E99:I99)</f>
        <v>77.239999999999995</v>
      </c>
      <c r="K99" s="3">
        <v>7</v>
      </c>
      <c r="L99" s="3">
        <v>8</v>
      </c>
      <c r="M99" s="3">
        <v>7</v>
      </c>
      <c r="N99" s="3">
        <v>8</v>
      </c>
      <c r="O99" s="3">
        <v>7</v>
      </c>
      <c r="P99" s="3">
        <f t="shared" ref="P99:P130" si="19">AVERAGE(K99:O99)</f>
        <v>7.4</v>
      </c>
      <c r="Q99" s="3">
        <v>13</v>
      </c>
      <c r="R99" s="3">
        <v>12</v>
      </c>
      <c r="S99" s="3">
        <v>12</v>
      </c>
      <c r="T99" s="3">
        <v>12</v>
      </c>
      <c r="U99" s="3">
        <v>14</v>
      </c>
      <c r="V99" s="3">
        <f t="shared" ref="V99:V130" si="20">AVERAGE(Q99:U99)</f>
        <v>12.6</v>
      </c>
      <c r="W99" s="3">
        <v>14</v>
      </c>
      <c r="X99" s="3">
        <v>12</v>
      </c>
      <c r="Y99" s="3">
        <v>14</v>
      </c>
      <c r="Z99" s="3">
        <v>15</v>
      </c>
      <c r="AA99" s="3">
        <v>16</v>
      </c>
      <c r="AB99" s="3">
        <f t="shared" ref="AB99:AB130" si="21">AVERAGE(W99:AA99)</f>
        <v>14.2</v>
      </c>
      <c r="AC99" s="3">
        <v>14.2</v>
      </c>
      <c r="AD99" s="3">
        <v>17.899999999999999</v>
      </c>
      <c r="AE99" s="3">
        <v>14.4</v>
      </c>
      <c r="AF99" s="3">
        <v>14.3</v>
      </c>
      <c r="AG99" s="3">
        <v>13.8</v>
      </c>
      <c r="AH99" s="3">
        <f t="shared" ref="AH99:AH130" si="22">AVERAGE(AC99:AG99)</f>
        <v>14.919999999999998</v>
      </c>
      <c r="AI99" s="11">
        <v>63.8</v>
      </c>
      <c r="AJ99" s="4">
        <f t="shared" ref="AJ99:AJ130" si="23">AI99*7407.4/1000</f>
        <v>472.59211999999991</v>
      </c>
      <c r="AK99" s="8"/>
      <c r="AL99" s="9"/>
    </row>
    <row r="100" spans="1:38" ht="14.4" customHeight="1" x14ac:dyDescent="0.3">
      <c r="A100" s="2">
        <v>98</v>
      </c>
      <c r="B100" s="2" t="s">
        <v>95</v>
      </c>
      <c r="C100" s="3">
        <v>45</v>
      </c>
      <c r="D100" s="14"/>
      <c r="E100" s="3">
        <v>95</v>
      </c>
      <c r="F100" s="3">
        <v>100.7</v>
      </c>
      <c r="G100" s="3">
        <v>90</v>
      </c>
      <c r="H100" s="3">
        <v>85.5</v>
      </c>
      <c r="I100" s="3">
        <v>92.9</v>
      </c>
      <c r="J100" s="3">
        <f t="shared" si="18"/>
        <v>92.820000000000007</v>
      </c>
      <c r="K100" s="3">
        <v>8</v>
      </c>
      <c r="L100" s="3">
        <v>8</v>
      </c>
      <c r="M100" s="3">
        <v>8</v>
      </c>
      <c r="N100" s="3">
        <v>8</v>
      </c>
      <c r="O100" s="3">
        <v>6</v>
      </c>
      <c r="P100" s="3">
        <f t="shared" si="19"/>
        <v>7.6</v>
      </c>
      <c r="Q100" s="3">
        <v>13</v>
      </c>
      <c r="R100" s="3">
        <v>15</v>
      </c>
      <c r="S100" s="3">
        <v>12</v>
      </c>
      <c r="T100" s="3">
        <v>11</v>
      </c>
      <c r="U100" s="3">
        <v>13</v>
      </c>
      <c r="V100" s="3">
        <f t="shared" si="20"/>
        <v>12.8</v>
      </c>
      <c r="W100" s="3">
        <v>17</v>
      </c>
      <c r="X100" s="3">
        <v>13</v>
      </c>
      <c r="Y100" s="3">
        <v>16</v>
      </c>
      <c r="Z100" s="3">
        <v>15</v>
      </c>
      <c r="AA100" s="3">
        <v>14</v>
      </c>
      <c r="AB100" s="3">
        <f t="shared" si="21"/>
        <v>15</v>
      </c>
      <c r="AC100" s="3">
        <v>16.399999999999999</v>
      </c>
      <c r="AD100" s="3">
        <v>9.9</v>
      </c>
      <c r="AE100" s="3">
        <v>15.7</v>
      </c>
      <c r="AF100" s="3">
        <v>17.2</v>
      </c>
      <c r="AG100" s="3">
        <v>9.8000000000000007</v>
      </c>
      <c r="AH100" s="3">
        <f t="shared" si="22"/>
        <v>13.8</v>
      </c>
      <c r="AI100" s="11">
        <v>60.6</v>
      </c>
      <c r="AJ100" s="4">
        <f t="shared" si="23"/>
        <v>448.88844</v>
      </c>
      <c r="AK100" s="5"/>
      <c r="AL100" s="9"/>
    </row>
    <row r="101" spans="1:38" ht="14.4" customHeight="1" x14ac:dyDescent="0.3">
      <c r="A101" s="2">
        <v>99</v>
      </c>
      <c r="B101" s="2" t="s">
        <v>96</v>
      </c>
      <c r="C101" s="3">
        <v>45</v>
      </c>
      <c r="D101" s="14"/>
      <c r="E101" s="3">
        <v>85.3</v>
      </c>
      <c r="F101" s="3">
        <v>50.9</v>
      </c>
      <c r="G101" s="3">
        <v>70.8</v>
      </c>
      <c r="H101" s="3">
        <v>65.400000000000006</v>
      </c>
      <c r="I101" s="3">
        <v>72.099999999999994</v>
      </c>
      <c r="J101" s="3">
        <f t="shared" si="18"/>
        <v>68.900000000000006</v>
      </c>
      <c r="K101" s="3">
        <v>9</v>
      </c>
      <c r="L101" s="3">
        <v>9</v>
      </c>
      <c r="M101" s="3">
        <v>9</v>
      </c>
      <c r="N101" s="3">
        <v>9</v>
      </c>
      <c r="O101" s="3">
        <v>10</v>
      </c>
      <c r="P101" s="3">
        <f t="shared" si="19"/>
        <v>9.1999999999999993</v>
      </c>
      <c r="Q101" s="3">
        <v>14</v>
      </c>
      <c r="R101" s="3">
        <v>13</v>
      </c>
      <c r="S101" s="3">
        <v>15</v>
      </c>
      <c r="T101" s="3">
        <v>14</v>
      </c>
      <c r="U101" s="3">
        <v>14</v>
      </c>
      <c r="V101" s="3">
        <f t="shared" si="20"/>
        <v>14</v>
      </c>
      <c r="W101" s="3">
        <v>13</v>
      </c>
      <c r="X101" s="3">
        <v>12</v>
      </c>
      <c r="Y101" s="3">
        <v>14</v>
      </c>
      <c r="Z101" s="3">
        <v>12</v>
      </c>
      <c r="AA101" s="3">
        <v>13</v>
      </c>
      <c r="AB101" s="3">
        <f t="shared" si="21"/>
        <v>12.8</v>
      </c>
      <c r="AC101" s="3">
        <v>13.5</v>
      </c>
      <c r="AD101" s="3">
        <v>15.3</v>
      </c>
      <c r="AE101" s="3">
        <v>12.7</v>
      </c>
      <c r="AF101" s="3">
        <v>15.6</v>
      </c>
      <c r="AG101" s="3">
        <v>20.100000000000001</v>
      </c>
      <c r="AH101" s="3">
        <f t="shared" si="22"/>
        <v>15.440000000000001</v>
      </c>
      <c r="AI101" s="11">
        <v>54.4</v>
      </c>
      <c r="AJ101" s="4">
        <f t="shared" si="23"/>
        <v>402.96256</v>
      </c>
      <c r="AK101" s="5"/>
      <c r="AL101" s="4"/>
    </row>
    <row r="102" spans="1:38" ht="14.4" customHeight="1" x14ac:dyDescent="0.3">
      <c r="A102" s="2">
        <v>100</v>
      </c>
      <c r="B102" s="2" t="s">
        <v>97</v>
      </c>
      <c r="C102" s="3">
        <v>45</v>
      </c>
      <c r="D102" s="14"/>
      <c r="E102" s="3">
        <v>87.9</v>
      </c>
      <c r="F102" s="3">
        <v>51.3</v>
      </c>
      <c r="G102" s="3">
        <v>80.599999999999994</v>
      </c>
      <c r="H102" s="3">
        <v>65.900000000000006</v>
      </c>
      <c r="I102" s="3">
        <v>80</v>
      </c>
      <c r="J102" s="3">
        <f t="shared" si="18"/>
        <v>73.14</v>
      </c>
      <c r="K102" s="3">
        <v>9</v>
      </c>
      <c r="L102" s="3">
        <v>11</v>
      </c>
      <c r="M102" s="3">
        <v>9</v>
      </c>
      <c r="N102" s="3">
        <v>11</v>
      </c>
      <c r="O102" s="3">
        <v>9</v>
      </c>
      <c r="P102" s="3">
        <f t="shared" si="19"/>
        <v>9.8000000000000007</v>
      </c>
      <c r="Q102" s="3">
        <v>12</v>
      </c>
      <c r="R102" s="3">
        <v>26</v>
      </c>
      <c r="S102" s="3">
        <v>14</v>
      </c>
      <c r="T102" s="3">
        <v>10</v>
      </c>
      <c r="U102" s="3">
        <v>11</v>
      </c>
      <c r="V102" s="3">
        <f t="shared" si="20"/>
        <v>14.6</v>
      </c>
      <c r="W102" s="3">
        <v>15</v>
      </c>
      <c r="X102" s="3">
        <v>14</v>
      </c>
      <c r="Y102" s="3">
        <v>12</v>
      </c>
      <c r="Z102" s="3">
        <v>15</v>
      </c>
      <c r="AA102" s="3">
        <v>12</v>
      </c>
      <c r="AB102" s="3">
        <f t="shared" si="21"/>
        <v>13.6</v>
      </c>
      <c r="AC102" s="3">
        <v>16.100000000000001</v>
      </c>
      <c r="AD102" s="3">
        <v>13.1</v>
      </c>
      <c r="AE102" s="3">
        <v>13.1</v>
      </c>
      <c r="AF102" s="3">
        <v>19</v>
      </c>
      <c r="AG102" s="3">
        <v>18.3</v>
      </c>
      <c r="AH102" s="3">
        <f t="shared" si="22"/>
        <v>15.920000000000002</v>
      </c>
      <c r="AI102" s="11">
        <v>57.8</v>
      </c>
      <c r="AJ102" s="4">
        <f t="shared" si="23"/>
        <v>428.14771999999999</v>
      </c>
      <c r="AK102" s="5"/>
      <c r="AL102" s="4"/>
    </row>
    <row r="103" spans="1:38" ht="14.4" customHeight="1" x14ac:dyDescent="0.3">
      <c r="A103" s="2">
        <v>101</v>
      </c>
      <c r="B103" s="2" t="s">
        <v>98</v>
      </c>
      <c r="C103" s="3">
        <v>45</v>
      </c>
      <c r="D103" s="14"/>
      <c r="E103" s="3">
        <v>67.5</v>
      </c>
      <c r="F103" s="3">
        <v>88.5</v>
      </c>
      <c r="G103" s="3">
        <v>72.7</v>
      </c>
      <c r="H103" s="3">
        <v>95.9</v>
      </c>
      <c r="I103" s="3">
        <v>100.9</v>
      </c>
      <c r="J103" s="3">
        <f t="shared" si="18"/>
        <v>85.1</v>
      </c>
      <c r="K103" s="3">
        <v>7</v>
      </c>
      <c r="L103" s="3">
        <v>6</v>
      </c>
      <c r="M103" s="3">
        <v>8</v>
      </c>
      <c r="N103" s="3">
        <v>7</v>
      </c>
      <c r="O103" s="3">
        <v>9</v>
      </c>
      <c r="P103" s="3">
        <f t="shared" si="19"/>
        <v>7.4</v>
      </c>
      <c r="Q103" s="3">
        <v>15</v>
      </c>
      <c r="R103" s="3">
        <v>12</v>
      </c>
      <c r="S103" s="3">
        <v>13</v>
      </c>
      <c r="T103" s="3">
        <v>10</v>
      </c>
      <c r="U103" s="3">
        <v>14</v>
      </c>
      <c r="V103" s="3">
        <f t="shared" si="20"/>
        <v>12.8</v>
      </c>
      <c r="W103" s="3">
        <v>14</v>
      </c>
      <c r="X103" s="3">
        <v>12</v>
      </c>
      <c r="Y103" s="3">
        <v>14</v>
      </c>
      <c r="Z103" s="3">
        <v>15</v>
      </c>
      <c r="AA103" s="3">
        <v>12</v>
      </c>
      <c r="AB103" s="3">
        <f t="shared" si="21"/>
        <v>13.4</v>
      </c>
      <c r="AC103" s="3">
        <v>16.2</v>
      </c>
      <c r="AD103" s="3">
        <v>14.5</v>
      </c>
      <c r="AE103" s="3">
        <v>18.3</v>
      </c>
      <c r="AF103" s="3">
        <v>11.7</v>
      </c>
      <c r="AG103" s="3">
        <v>13.2</v>
      </c>
      <c r="AH103" s="3">
        <f t="shared" si="22"/>
        <v>14.780000000000001</v>
      </c>
      <c r="AI103" s="11">
        <v>56.6</v>
      </c>
      <c r="AJ103" s="4">
        <f t="shared" si="23"/>
        <v>419.25883999999996</v>
      </c>
      <c r="AK103" s="5"/>
      <c r="AL103" s="4"/>
    </row>
    <row r="104" spans="1:38" ht="14.4" customHeight="1" x14ac:dyDescent="0.3">
      <c r="A104" s="2">
        <v>102</v>
      </c>
      <c r="B104" s="2" t="s">
        <v>99</v>
      </c>
      <c r="C104" s="3">
        <v>45</v>
      </c>
      <c r="D104" s="14"/>
      <c r="E104" s="3">
        <v>93.1</v>
      </c>
      <c r="F104" s="3">
        <v>65.8</v>
      </c>
      <c r="G104" s="3">
        <v>90.1</v>
      </c>
      <c r="H104" s="3">
        <v>96.9</v>
      </c>
      <c r="I104" s="3">
        <v>74.900000000000006</v>
      </c>
      <c r="J104" s="3">
        <f t="shared" si="18"/>
        <v>84.16</v>
      </c>
      <c r="K104" s="3">
        <v>6</v>
      </c>
      <c r="L104" s="3">
        <v>5</v>
      </c>
      <c r="M104" s="3">
        <v>6</v>
      </c>
      <c r="N104" s="3">
        <v>5</v>
      </c>
      <c r="O104" s="3">
        <v>4</v>
      </c>
      <c r="P104" s="3">
        <f t="shared" si="19"/>
        <v>5.2</v>
      </c>
      <c r="Q104" s="3">
        <v>12</v>
      </c>
      <c r="R104" s="3">
        <v>11</v>
      </c>
      <c r="S104" s="3">
        <v>13</v>
      </c>
      <c r="T104" s="3">
        <v>12</v>
      </c>
      <c r="U104" s="3">
        <v>11</v>
      </c>
      <c r="V104" s="3">
        <f t="shared" si="20"/>
        <v>11.8</v>
      </c>
      <c r="W104" s="3">
        <v>15</v>
      </c>
      <c r="X104" s="3">
        <v>13</v>
      </c>
      <c r="Y104" s="3">
        <v>14</v>
      </c>
      <c r="Z104" s="3">
        <v>12</v>
      </c>
      <c r="AA104" s="2">
        <v>13</v>
      </c>
      <c r="AB104" s="3">
        <f t="shared" si="21"/>
        <v>13.4</v>
      </c>
      <c r="AC104" s="3">
        <v>12.2</v>
      </c>
      <c r="AD104" s="3">
        <v>18.8</v>
      </c>
      <c r="AE104" s="3">
        <v>13.9</v>
      </c>
      <c r="AF104" s="3">
        <v>13.6</v>
      </c>
      <c r="AG104" s="2"/>
      <c r="AH104" s="3">
        <f t="shared" si="22"/>
        <v>14.625</v>
      </c>
      <c r="AI104" s="11">
        <v>60</v>
      </c>
      <c r="AJ104" s="4">
        <f t="shared" si="23"/>
        <v>444.44400000000002</v>
      </c>
      <c r="AK104" s="5"/>
      <c r="AL104" s="11"/>
    </row>
    <row r="105" spans="1:38" ht="14.4" customHeight="1" x14ac:dyDescent="0.3">
      <c r="A105" s="2">
        <v>103</v>
      </c>
      <c r="B105" s="2" t="s">
        <v>100</v>
      </c>
      <c r="C105" s="3">
        <v>45</v>
      </c>
      <c r="D105" s="14"/>
      <c r="E105" s="3">
        <v>56.3</v>
      </c>
      <c r="F105" s="3">
        <v>45.4</v>
      </c>
      <c r="G105" s="3">
        <v>55.9</v>
      </c>
      <c r="H105" s="3">
        <v>65.900000000000006</v>
      </c>
      <c r="I105" s="3">
        <v>56.9</v>
      </c>
      <c r="J105" s="3">
        <f t="shared" si="18"/>
        <v>56.08</v>
      </c>
      <c r="K105" s="3">
        <v>10</v>
      </c>
      <c r="L105" s="3">
        <v>8</v>
      </c>
      <c r="M105" s="3">
        <v>9</v>
      </c>
      <c r="N105" s="3">
        <v>10</v>
      </c>
      <c r="O105" s="3">
        <v>10</v>
      </c>
      <c r="P105" s="3">
        <f t="shared" si="19"/>
        <v>9.4</v>
      </c>
      <c r="Q105" s="3">
        <v>15</v>
      </c>
      <c r="R105" s="3">
        <v>11</v>
      </c>
      <c r="S105" s="3">
        <v>14</v>
      </c>
      <c r="T105" s="3">
        <v>14</v>
      </c>
      <c r="U105" s="3">
        <v>15</v>
      </c>
      <c r="V105" s="3">
        <f t="shared" si="20"/>
        <v>13.8</v>
      </c>
      <c r="W105" s="3">
        <v>13</v>
      </c>
      <c r="X105" s="3">
        <v>13</v>
      </c>
      <c r="Y105" s="3">
        <v>15</v>
      </c>
      <c r="Z105" s="3">
        <v>13</v>
      </c>
      <c r="AA105" s="3">
        <v>16</v>
      </c>
      <c r="AB105" s="3">
        <f t="shared" si="21"/>
        <v>14</v>
      </c>
      <c r="AC105" s="3">
        <v>11</v>
      </c>
      <c r="AD105" s="3">
        <v>15.9</v>
      </c>
      <c r="AE105" s="3">
        <v>13.7</v>
      </c>
      <c r="AF105" s="3">
        <v>17.899999999999999</v>
      </c>
      <c r="AG105" s="3">
        <v>18.899999999999999</v>
      </c>
      <c r="AH105" s="3">
        <f t="shared" si="22"/>
        <v>15.479999999999999</v>
      </c>
      <c r="AI105" s="11">
        <v>55.4</v>
      </c>
      <c r="AJ105" s="4">
        <f t="shared" si="23"/>
        <v>410.36995999999994</v>
      </c>
      <c r="AK105" s="8"/>
      <c r="AL105" s="9"/>
    </row>
    <row r="106" spans="1:38" ht="14.4" customHeight="1" x14ac:dyDescent="0.3">
      <c r="A106" s="2">
        <v>104</v>
      </c>
      <c r="B106" s="2" t="s">
        <v>101</v>
      </c>
      <c r="C106" s="3">
        <v>45</v>
      </c>
      <c r="D106" s="14"/>
      <c r="E106" s="3">
        <v>65.8</v>
      </c>
      <c r="F106" s="3">
        <v>90</v>
      </c>
      <c r="G106" s="3">
        <v>50.5</v>
      </c>
      <c r="H106" s="3">
        <v>51</v>
      </c>
      <c r="I106" s="3">
        <v>93.9</v>
      </c>
      <c r="J106" s="3">
        <f t="shared" si="18"/>
        <v>70.240000000000009</v>
      </c>
      <c r="K106" s="3">
        <v>9</v>
      </c>
      <c r="L106" s="3">
        <v>8</v>
      </c>
      <c r="M106" s="3">
        <v>9</v>
      </c>
      <c r="N106" s="3">
        <v>9</v>
      </c>
      <c r="O106" s="3">
        <v>9</v>
      </c>
      <c r="P106" s="3">
        <f t="shared" si="19"/>
        <v>8.8000000000000007</v>
      </c>
      <c r="Q106" s="3">
        <v>11</v>
      </c>
      <c r="R106" s="3">
        <v>13</v>
      </c>
      <c r="S106" s="3">
        <v>15</v>
      </c>
      <c r="T106" s="3">
        <v>14</v>
      </c>
      <c r="U106" s="3">
        <v>15</v>
      </c>
      <c r="V106" s="3">
        <f t="shared" si="20"/>
        <v>13.6</v>
      </c>
      <c r="W106" s="3">
        <v>16</v>
      </c>
      <c r="X106" s="3">
        <v>13</v>
      </c>
      <c r="Y106" s="3">
        <v>12</v>
      </c>
      <c r="Z106" s="3">
        <v>12</v>
      </c>
      <c r="AA106" s="3">
        <v>15</v>
      </c>
      <c r="AB106" s="3">
        <f t="shared" si="21"/>
        <v>13.6</v>
      </c>
      <c r="AC106" s="3">
        <v>17.8</v>
      </c>
      <c r="AD106" s="3">
        <v>11.1</v>
      </c>
      <c r="AE106" s="3">
        <v>14.8</v>
      </c>
      <c r="AF106" s="3">
        <v>14.2</v>
      </c>
      <c r="AG106" s="3">
        <v>12.7</v>
      </c>
      <c r="AH106" s="3">
        <f t="shared" si="22"/>
        <v>14.120000000000001</v>
      </c>
      <c r="AI106" s="11">
        <v>62.6</v>
      </c>
      <c r="AJ106" s="4">
        <f t="shared" si="23"/>
        <v>463.70323999999999</v>
      </c>
      <c r="AK106" s="5"/>
      <c r="AL106" s="4"/>
    </row>
    <row r="107" spans="1:38" ht="14.4" customHeight="1" x14ac:dyDescent="0.3">
      <c r="A107" s="2">
        <v>105</v>
      </c>
      <c r="B107" s="10" t="s">
        <v>30</v>
      </c>
      <c r="C107" s="6">
        <v>40</v>
      </c>
      <c r="D107" s="15"/>
      <c r="E107" s="6">
        <v>70.8</v>
      </c>
      <c r="F107" s="6">
        <v>71</v>
      </c>
      <c r="G107" s="6">
        <v>71.7</v>
      </c>
      <c r="H107" s="6">
        <v>70.900000000000006</v>
      </c>
      <c r="I107" s="6">
        <v>72.400000000000006</v>
      </c>
      <c r="J107" s="3">
        <f t="shared" si="18"/>
        <v>71.359999999999985</v>
      </c>
      <c r="K107" s="6">
        <v>7</v>
      </c>
      <c r="L107" s="6">
        <v>6</v>
      </c>
      <c r="M107" s="6">
        <v>7</v>
      </c>
      <c r="N107" s="6">
        <v>7</v>
      </c>
      <c r="O107" s="6">
        <v>7</v>
      </c>
      <c r="P107" s="6">
        <f t="shared" si="19"/>
        <v>6.8</v>
      </c>
      <c r="Q107" s="6">
        <v>11</v>
      </c>
      <c r="R107" s="6">
        <v>11</v>
      </c>
      <c r="S107" s="6">
        <v>11</v>
      </c>
      <c r="T107" s="6">
        <v>11</v>
      </c>
      <c r="U107" s="6">
        <v>11</v>
      </c>
      <c r="V107" s="3">
        <f t="shared" si="20"/>
        <v>11</v>
      </c>
      <c r="W107" s="6">
        <v>12</v>
      </c>
      <c r="X107" s="6">
        <v>12</v>
      </c>
      <c r="Y107" s="6">
        <v>12</v>
      </c>
      <c r="Z107" s="6">
        <v>12</v>
      </c>
      <c r="AA107" s="6">
        <v>12</v>
      </c>
      <c r="AB107" s="3">
        <f t="shared" si="21"/>
        <v>12</v>
      </c>
      <c r="AC107" s="6">
        <v>13.1</v>
      </c>
      <c r="AD107" s="6">
        <v>12.7</v>
      </c>
      <c r="AE107" s="6">
        <v>13</v>
      </c>
      <c r="AF107" s="6">
        <v>13.1</v>
      </c>
      <c r="AG107" s="6">
        <v>12.9</v>
      </c>
      <c r="AH107" s="3">
        <f t="shared" si="22"/>
        <v>12.959999999999999</v>
      </c>
      <c r="AI107" s="7">
        <v>52.07</v>
      </c>
      <c r="AJ107" s="4">
        <f t="shared" si="23"/>
        <v>385.70331799999997</v>
      </c>
      <c r="AK107" s="5"/>
      <c r="AL107" s="4"/>
    </row>
    <row r="108" spans="1:38" ht="14.4" customHeight="1" x14ac:dyDescent="0.3">
      <c r="A108" s="2">
        <v>106</v>
      </c>
      <c r="B108" s="10" t="s">
        <v>31</v>
      </c>
      <c r="C108" s="6">
        <v>41</v>
      </c>
      <c r="D108" s="15"/>
      <c r="E108" s="6">
        <v>55.4</v>
      </c>
      <c r="F108" s="6">
        <v>65.099999999999994</v>
      </c>
      <c r="G108" s="6">
        <v>54.3</v>
      </c>
      <c r="H108" s="6">
        <v>56</v>
      </c>
      <c r="I108" s="6">
        <v>57.9</v>
      </c>
      <c r="J108" s="3">
        <f t="shared" si="18"/>
        <v>57.739999999999995</v>
      </c>
      <c r="K108" s="6">
        <v>8</v>
      </c>
      <c r="L108" s="6">
        <v>8</v>
      </c>
      <c r="M108" s="6">
        <v>8</v>
      </c>
      <c r="N108" s="6">
        <v>8</v>
      </c>
      <c r="O108" s="6">
        <v>9</v>
      </c>
      <c r="P108" s="6">
        <f t="shared" si="19"/>
        <v>8.1999999999999993</v>
      </c>
      <c r="Q108" s="6">
        <v>13</v>
      </c>
      <c r="R108" s="6">
        <v>12</v>
      </c>
      <c r="S108" s="6">
        <v>13</v>
      </c>
      <c r="T108" s="6">
        <v>14</v>
      </c>
      <c r="U108" s="6">
        <v>12</v>
      </c>
      <c r="V108" s="3">
        <f t="shared" si="20"/>
        <v>12.8</v>
      </c>
      <c r="W108" s="6">
        <v>18</v>
      </c>
      <c r="X108" s="6">
        <v>17</v>
      </c>
      <c r="Y108" s="6">
        <v>17</v>
      </c>
      <c r="Z108" s="6">
        <v>16</v>
      </c>
      <c r="AA108" s="6">
        <v>17</v>
      </c>
      <c r="AB108" s="3">
        <f t="shared" si="21"/>
        <v>17</v>
      </c>
      <c r="AC108" s="6">
        <v>14.1</v>
      </c>
      <c r="AD108" s="6">
        <v>14.2</v>
      </c>
      <c r="AE108" s="6">
        <v>14.1</v>
      </c>
      <c r="AF108" s="6">
        <v>14.2</v>
      </c>
      <c r="AG108" s="6">
        <v>14.2</v>
      </c>
      <c r="AH108" s="3">
        <f t="shared" si="22"/>
        <v>14.16</v>
      </c>
      <c r="AI108" s="7">
        <v>54.61</v>
      </c>
      <c r="AJ108" s="4">
        <f t="shared" si="23"/>
        <v>404.51811400000003</v>
      </c>
      <c r="AK108" s="5"/>
      <c r="AL108" s="4"/>
    </row>
    <row r="109" spans="1:38" ht="14.4" customHeight="1" x14ac:dyDescent="0.3">
      <c r="A109" s="2">
        <v>107</v>
      </c>
      <c r="B109" s="10" t="s">
        <v>32</v>
      </c>
      <c r="C109" s="6">
        <v>54</v>
      </c>
      <c r="D109" s="15"/>
      <c r="E109" s="6">
        <v>49.6</v>
      </c>
      <c r="F109" s="6">
        <v>49.4</v>
      </c>
      <c r="G109" s="6">
        <v>49.1</v>
      </c>
      <c r="H109" s="6">
        <v>49.3</v>
      </c>
      <c r="I109" s="6">
        <v>49.1</v>
      </c>
      <c r="J109" s="3">
        <f t="shared" si="18"/>
        <v>49.3</v>
      </c>
      <c r="K109" s="6">
        <v>7</v>
      </c>
      <c r="L109" s="6">
        <v>6</v>
      </c>
      <c r="M109" s="6">
        <v>6</v>
      </c>
      <c r="N109" s="6">
        <v>7</v>
      </c>
      <c r="O109" s="6">
        <v>6</v>
      </c>
      <c r="P109" s="6">
        <f t="shared" si="19"/>
        <v>6.4</v>
      </c>
      <c r="Q109" s="6">
        <v>13</v>
      </c>
      <c r="R109" s="6">
        <v>13</v>
      </c>
      <c r="S109" s="6">
        <v>13</v>
      </c>
      <c r="T109" s="6">
        <v>13</v>
      </c>
      <c r="U109" s="6">
        <v>13</v>
      </c>
      <c r="V109" s="3">
        <f t="shared" si="20"/>
        <v>13</v>
      </c>
      <c r="W109" s="6">
        <v>15</v>
      </c>
      <c r="X109" s="6">
        <v>15</v>
      </c>
      <c r="Y109" s="6">
        <v>16</v>
      </c>
      <c r="Z109" s="6">
        <v>16</v>
      </c>
      <c r="AA109" s="6">
        <v>15</v>
      </c>
      <c r="AB109" s="3">
        <f t="shared" si="21"/>
        <v>15.4</v>
      </c>
      <c r="AC109" s="6">
        <v>14</v>
      </c>
      <c r="AD109" s="6">
        <v>14.5</v>
      </c>
      <c r="AE109" s="6">
        <v>14.3</v>
      </c>
      <c r="AF109" s="6">
        <v>13.6</v>
      </c>
      <c r="AG109" s="6">
        <v>14</v>
      </c>
      <c r="AH109" s="3">
        <f t="shared" si="22"/>
        <v>14.080000000000002</v>
      </c>
      <c r="AI109" s="7">
        <v>65.25</v>
      </c>
      <c r="AJ109" s="4">
        <f t="shared" si="23"/>
        <v>483.33284999999995</v>
      </c>
      <c r="AK109" s="8"/>
      <c r="AL109" s="9"/>
    </row>
    <row r="110" spans="1:38" ht="14.4" customHeight="1" x14ac:dyDescent="0.3">
      <c r="A110" s="2">
        <v>108</v>
      </c>
      <c r="B110" s="10" t="s">
        <v>33</v>
      </c>
      <c r="C110" s="6">
        <v>48</v>
      </c>
      <c r="D110" s="15"/>
      <c r="E110" s="6">
        <v>75.7</v>
      </c>
      <c r="F110" s="6">
        <v>75.400000000000006</v>
      </c>
      <c r="G110" s="6">
        <v>74.099999999999994</v>
      </c>
      <c r="H110" s="6">
        <v>75.099999999999994</v>
      </c>
      <c r="I110" s="6">
        <v>74.7</v>
      </c>
      <c r="J110" s="3">
        <f t="shared" si="18"/>
        <v>75</v>
      </c>
      <c r="K110" s="6">
        <v>8</v>
      </c>
      <c r="L110" s="6">
        <v>8</v>
      </c>
      <c r="M110" s="6">
        <v>7</v>
      </c>
      <c r="N110" s="6">
        <v>8</v>
      </c>
      <c r="O110" s="6">
        <v>8</v>
      </c>
      <c r="P110" s="6">
        <f t="shared" si="19"/>
        <v>7.8</v>
      </c>
      <c r="Q110" s="6">
        <v>15</v>
      </c>
      <c r="R110" s="6">
        <v>14</v>
      </c>
      <c r="S110" s="6">
        <v>14</v>
      </c>
      <c r="T110" s="6">
        <v>14</v>
      </c>
      <c r="U110" s="6">
        <v>14</v>
      </c>
      <c r="V110" s="3">
        <f t="shared" si="20"/>
        <v>14.2</v>
      </c>
      <c r="W110" s="6">
        <v>15</v>
      </c>
      <c r="X110" s="6">
        <v>15</v>
      </c>
      <c r="Y110" s="6">
        <v>14</v>
      </c>
      <c r="Z110" s="6">
        <v>14</v>
      </c>
      <c r="AA110" s="6">
        <v>15</v>
      </c>
      <c r="AB110" s="3">
        <f t="shared" si="21"/>
        <v>14.6</v>
      </c>
      <c r="AC110" s="6">
        <v>12.9</v>
      </c>
      <c r="AD110" s="6">
        <v>15.2</v>
      </c>
      <c r="AE110" s="6">
        <v>13.7</v>
      </c>
      <c r="AF110" s="6">
        <v>12.4</v>
      </c>
      <c r="AG110" s="6">
        <v>12.7</v>
      </c>
      <c r="AH110" s="3">
        <f t="shared" si="22"/>
        <v>13.379999999999999</v>
      </c>
      <c r="AI110" s="7">
        <v>72.45</v>
      </c>
      <c r="AJ110" s="4">
        <f t="shared" si="23"/>
        <v>536.66612999999995</v>
      </c>
      <c r="AK110" s="5"/>
      <c r="AL110" s="4"/>
    </row>
    <row r="111" spans="1:38" ht="14.4" customHeight="1" x14ac:dyDescent="0.3">
      <c r="A111" s="2">
        <v>109</v>
      </c>
      <c r="B111" s="10" t="s">
        <v>34</v>
      </c>
      <c r="C111" s="6">
        <v>42</v>
      </c>
      <c r="D111" s="15"/>
      <c r="E111" s="6">
        <v>63.6</v>
      </c>
      <c r="F111" s="6">
        <v>61.2</v>
      </c>
      <c r="G111" s="6">
        <v>64.2</v>
      </c>
      <c r="H111" s="6">
        <v>59.9</v>
      </c>
      <c r="I111" s="6">
        <v>61.6</v>
      </c>
      <c r="J111" s="3">
        <f t="shared" si="18"/>
        <v>62.1</v>
      </c>
      <c r="K111" s="6">
        <v>9</v>
      </c>
      <c r="L111" s="6">
        <v>9</v>
      </c>
      <c r="M111" s="6">
        <v>8</v>
      </c>
      <c r="N111" s="6">
        <v>8</v>
      </c>
      <c r="O111" s="6">
        <v>9</v>
      </c>
      <c r="P111" s="6">
        <f t="shared" si="19"/>
        <v>8.6</v>
      </c>
      <c r="Q111" s="6">
        <v>13</v>
      </c>
      <c r="R111" s="6">
        <v>12</v>
      </c>
      <c r="S111" s="6">
        <v>14</v>
      </c>
      <c r="T111" s="6">
        <v>13</v>
      </c>
      <c r="U111" s="6">
        <v>13</v>
      </c>
      <c r="V111" s="3">
        <f t="shared" si="20"/>
        <v>13</v>
      </c>
      <c r="W111" s="6">
        <v>12</v>
      </c>
      <c r="X111" s="6">
        <v>12</v>
      </c>
      <c r="Y111" s="6">
        <v>13</v>
      </c>
      <c r="Z111" s="6">
        <v>13</v>
      </c>
      <c r="AA111" s="6">
        <v>13</v>
      </c>
      <c r="AB111" s="3">
        <f t="shared" si="21"/>
        <v>12.6</v>
      </c>
      <c r="AC111" s="6">
        <v>11.7</v>
      </c>
      <c r="AD111" s="6">
        <v>11.9</v>
      </c>
      <c r="AE111" s="6">
        <v>11.8</v>
      </c>
      <c r="AF111" s="6">
        <v>11.9</v>
      </c>
      <c r="AG111" s="6">
        <v>12</v>
      </c>
      <c r="AH111" s="3">
        <f t="shared" si="22"/>
        <v>11.860000000000001</v>
      </c>
      <c r="AI111" s="7">
        <v>77.47</v>
      </c>
      <c r="AJ111" s="4">
        <f t="shared" si="23"/>
        <v>573.85127799999998</v>
      </c>
      <c r="AK111" s="5"/>
      <c r="AL111" s="4"/>
    </row>
    <row r="112" spans="1:38" ht="14.4" customHeight="1" x14ac:dyDescent="0.3">
      <c r="A112" s="2">
        <v>110</v>
      </c>
      <c r="B112" s="2" t="s">
        <v>102</v>
      </c>
      <c r="C112" s="3">
        <v>42</v>
      </c>
      <c r="D112" s="14"/>
      <c r="E112" s="3">
        <v>58.1</v>
      </c>
      <c r="F112" s="3">
        <v>50.3</v>
      </c>
      <c r="G112" s="3">
        <v>76.2</v>
      </c>
      <c r="H112" s="3">
        <v>82.2</v>
      </c>
      <c r="I112" s="3">
        <v>56.2</v>
      </c>
      <c r="J112" s="3">
        <f t="shared" si="18"/>
        <v>64.599999999999994</v>
      </c>
      <c r="K112" s="3">
        <v>10</v>
      </c>
      <c r="L112" s="3">
        <v>9</v>
      </c>
      <c r="M112" s="3">
        <v>9</v>
      </c>
      <c r="N112" s="3">
        <v>9</v>
      </c>
      <c r="O112" s="3">
        <v>7</v>
      </c>
      <c r="P112" s="3">
        <f t="shared" si="19"/>
        <v>8.8000000000000007</v>
      </c>
      <c r="Q112" s="3">
        <v>15</v>
      </c>
      <c r="R112" s="3">
        <v>14</v>
      </c>
      <c r="S112" s="3">
        <v>12</v>
      </c>
      <c r="T112" s="3">
        <v>13</v>
      </c>
      <c r="U112" s="3">
        <v>12</v>
      </c>
      <c r="V112" s="3">
        <f t="shared" si="20"/>
        <v>13.2</v>
      </c>
      <c r="W112" s="3">
        <v>14</v>
      </c>
      <c r="X112" s="3">
        <v>16</v>
      </c>
      <c r="Y112" s="3">
        <v>13</v>
      </c>
      <c r="Z112" s="3">
        <v>15</v>
      </c>
      <c r="AA112" s="3">
        <v>13</v>
      </c>
      <c r="AB112" s="3">
        <f t="shared" si="21"/>
        <v>14.2</v>
      </c>
      <c r="AC112" s="3">
        <v>14.5</v>
      </c>
      <c r="AD112" s="3">
        <v>15.1</v>
      </c>
      <c r="AE112" s="3">
        <v>15.4</v>
      </c>
      <c r="AF112" s="3">
        <v>12.1</v>
      </c>
      <c r="AG112" s="3">
        <v>17.2</v>
      </c>
      <c r="AH112" s="3">
        <f t="shared" si="22"/>
        <v>14.86</v>
      </c>
      <c r="AI112" s="11">
        <v>54</v>
      </c>
      <c r="AJ112" s="4">
        <f t="shared" si="23"/>
        <v>399.99959999999999</v>
      </c>
      <c r="AK112" s="5"/>
      <c r="AL112" s="4"/>
    </row>
    <row r="113" spans="1:38" ht="14.4" customHeight="1" x14ac:dyDescent="0.3">
      <c r="A113" s="2">
        <v>111</v>
      </c>
      <c r="B113" s="2" t="s">
        <v>103</v>
      </c>
      <c r="C113" s="3">
        <v>44</v>
      </c>
      <c r="D113" s="14"/>
      <c r="E113" s="3">
        <v>64.7</v>
      </c>
      <c r="F113" s="3">
        <v>77.900000000000006</v>
      </c>
      <c r="G113" s="3">
        <v>81.2</v>
      </c>
      <c r="H113" s="3">
        <v>95.7</v>
      </c>
      <c r="I113" s="3">
        <v>55</v>
      </c>
      <c r="J113" s="3">
        <f t="shared" si="18"/>
        <v>74.900000000000006</v>
      </c>
      <c r="K113" s="3">
        <v>6</v>
      </c>
      <c r="L113" s="3">
        <v>7</v>
      </c>
      <c r="M113" s="3">
        <v>7</v>
      </c>
      <c r="N113" s="3">
        <v>7</v>
      </c>
      <c r="O113" s="3">
        <v>5</v>
      </c>
      <c r="P113" s="3">
        <f t="shared" si="19"/>
        <v>6.4</v>
      </c>
      <c r="Q113" s="3">
        <v>12</v>
      </c>
      <c r="R113" s="3">
        <v>14</v>
      </c>
      <c r="S113" s="3">
        <v>15</v>
      </c>
      <c r="T113" s="3">
        <v>11</v>
      </c>
      <c r="U113" s="3">
        <v>11</v>
      </c>
      <c r="V113" s="3">
        <f t="shared" si="20"/>
        <v>12.6</v>
      </c>
      <c r="W113" s="3">
        <v>18</v>
      </c>
      <c r="X113" s="3">
        <v>17</v>
      </c>
      <c r="Y113" s="3">
        <v>15</v>
      </c>
      <c r="Z113" s="3">
        <v>18</v>
      </c>
      <c r="AA113" s="3">
        <v>18</v>
      </c>
      <c r="AB113" s="3">
        <f t="shared" si="21"/>
        <v>17.2</v>
      </c>
      <c r="AC113" s="3">
        <v>15.8</v>
      </c>
      <c r="AD113" s="3">
        <v>14.3</v>
      </c>
      <c r="AE113" s="3">
        <v>14.5</v>
      </c>
      <c r="AF113" s="3">
        <v>14.5</v>
      </c>
      <c r="AG113" s="3">
        <v>14.4</v>
      </c>
      <c r="AH113" s="3">
        <f t="shared" si="22"/>
        <v>14.7</v>
      </c>
      <c r="AI113" s="11">
        <v>128.19</v>
      </c>
      <c r="AJ113" s="4">
        <f t="shared" si="23"/>
        <v>949.55460599999992</v>
      </c>
      <c r="AK113" s="5"/>
      <c r="AL113" s="4"/>
    </row>
    <row r="114" spans="1:38" ht="14.4" customHeight="1" x14ac:dyDescent="0.3">
      <c r="A114" s="2">
        <v>112</v>
      </c>
      <c r="B114" s="2" t="s">
        <v>104</v>
      </c>
      <c r="C114" s="3">
        <v>38</v>
      </c>
      <c r="D114" s="14"/>
      <c r="E114" s="3">
        <v>35.6</v>
      </c>
      <c r="F114" s="3">
        <v>45.6</v>
      </c>
      <c r="G114" s="3">
        <v>77</v>
      </c>
      <c r="H114" s="3">
        <v>67</v>
      </c>
      <c r="I114" s="3">
        <v>72.2</v>
      </c>
      <c r="J114" s="3">
        <f t="shared" si="18"/>
        <v>59.48</v>
      </c>
      <c r="K114" s="3">
        <v>9</v>
      </c>
      <c r="L114" s="3">
        <v>9</v>
      </c>
      <c r="M114" s="3">
        <v>10</v>
      </c>
      <c r="N114" s="3">
        <v>10</v>
      </c>
      <c r="O114" s="3">
        <v>10</v>
      </c>
      <c r="P114" s="3">
        <f t="shared" si="19"/>
        <v>9.6</v>
      </c>
      <c r="Q114" s="3">
        <v>14</v>
      </c>
      <c r="R114" s="3">
        <v>13</v>
      </c>
      <c r="S114" s="3">
        <v>14</v>
      </c>
      <c r="T114" s="3">
        <v>15</v>
      </c>
      <c r="U114" s="3">
        <v>15</v>
      </c>
      <c r="V114" s="3">
        <f t="shared" si="20"/>
        <v>14.2</v>
      </c>
      <c r="W114" s="3">
        <v>15</v>
      </c>
      <c r="X114" s="3">
        <v>13</v>
      </c>
      <c r="Y114" s="3">
        <v>16</v>
      </c>
      <c r="Z114" s="3">
        <v>15</v>
      </c>
      <c r="AA114" s="3">
        <v>14</v>
      </c>
      <c r="AB114" s="3">
        <f t="shared" si="21"/>
        <v>14.6</v>
      </c>
      <c r="AC114" s="3">
        <v>15.3</v>
      </c>
      <c r="AD114" s="3">
        <v>17.600000000000001</v>
      </c>
      <c r="AE114" s="3">
        <v>17</v>
      </c>
      <c r="AF114" s="3">
        <v>12</v>
      </c>
      <c r="AG114" s="3">
        <v>10.7</v>
      </c>
      <c r="AH114" s="3">
        <f t="shared" si="22"/>
        <v>14.520000000000001</v>
      </c>
      <c r="AI114" s="11">
        <v>60.28</v>
      </c>
      <c r="AJ114" s="4">
        <f t="shared" si="23"/>
        <v>446.51807199999996</v>
      </c>
      <c r="AK114" s="5"/>
      <c r="AL114" s="4"/>
    </row>
    <row r="115" spans="1:38" ht="14.4" customHeight="1" x14ac:dyDescent="0.3">
      <c r="A115" s="2">
        <v>113</v>
      </c>
      <c r="B115" s="2" t="s">
        <v>105</v>
      </c>
      <c r="C115" s="3">
        <v>43</v>
      </c>
      <c r="D115" s="14"/>
      <c r="E115" s="3">
        <v>45.3</v>
      </c>
      <c r="F115" s="3">
        <v>74.5</v>
      </c>
      <c r="G115" s="3">
        <v>40.799999999999997</v>
      </c>
      <c r="H115" s="3">
        <v>52.7</v>
      </c>
      <c r="I115" s="3">
        <v>63.3</v>
      </c>
      <c r="J115" s="3">
        <f t="shared" si="18"/>
        <v>55.320000000000007</v>
      </c>
      <c r="K115" s="3">
        <v>8</v>
      </c>
      <c r="L115" s="3">
        <v>7</v>
      </c>
      <c r="M115" s="3">
        <v>8</v>
      </c>
      <c r="N115" s="3">
        <v>8</v>
      </c>
      <c r="O115" s="3">
        <v>8</v>
      </c>
      <c r="P115" s="3">
        <f t="shared" si="19"/>
        <v>7.8</v>
      </c>
      <c r="Q115" s="3">
        <v>12</v>
      </c>
      <c r="R115" s="3">
        <v>11</v>
      </c>
      <c r="S115" s="3">
        <v>15</v>
      </c>
      <c r="T115" s="3">
        <v>14</v>
      </c>
      <c r="U115" s="3">
        <v>14</v>
      </c>
      <c r="V115" s="3">
        <f t="shared" si="20"/>
        <v>13.2</v>
      </c>
      <c r="W115" s="3">
        <v>14</v>
      </c>
      <c r="X115" s="3">
        <v>13</v>
      </c>
      <c r="Y115" s="3">
        <v>14</v>
      </c>
      <c r="Z115" s="3">
        <v>13</v>
      </c>
      <c r="AA115" s="3">
        <v>16</v>
      </c>
      <c r="AB115" s="3">
        <f t="shared" si="21"/>
        <v>14</v>
      </c>
      <c r="AC115" s="3">
        <v>16.399999999999999</v>
      </c>
      <c r="AD115" s="3">
        <v>14.1</v>
      </c>
      <c r="AE115" s="3">
        <v>18.8</v>
      </c>
      <c r="AF115" s="3">
        <v>9.4</v>
      </c>
      <c r="AG115" s="3">
        <v>12</v>
      </c>
      <c r="AH115" s="3">
        <f t="shared" si="22"/>
        <v>14.139999999999997</v>
      </c>
      <c r="AI115" s="11">
        <v>57</v>
      </c>
      <c r="AJ115" s="4">
        <f t="shared" si="23"/>
        <v>422.22179999999997</v>
      </c>
      <c r="AK115" s="5"/>
      <c r="AL115" s="4"/>
    </row>
    <row r="116" spans="1:38" ht="14.4" customHeight="1" x14ac:dyDescent="0.3">
      <c r="A116" s="2">
        <v>114</v>
      </c>
      <c r="B116" s="2" t="s">
        <v>106</v>
      </c>
      <c r="C116" s="3">
        <v>43</v>
      </c>
      <c r="D116" s="14"/>
      <c r="E116" s="3">
        <v>50</v>
      </c>
      <c r="F116" s="3">
        <v>45.9</v>
      </c>
      <c r="G116" s="3">
        <v>60.2</v>
      </c>
      <c r="H116" s="3">
        <v>76.599999999999994</v>
      </c>
      <c r="I116" s="3">
        <v>35.1</v>
      </c>
      <c r="J116" s="3">
        <f t="shared" si="18"/>
        <v>53.56</v>
      </c>
      <c r="K116" s="3">
        <v>8</v>
      </c>
      <c r="L116" s="3">
        <v>8</v>
      </c>
      <c r="M116" s="3">
        <v>9</v>
      </c>
      <c r="N116" s="3">
        <v>8</v>
      </c>
      <c r="O116" s="3">
        <v>7</v>
      </c>
      <c r="P116" s="3">
        <f t="shared" si="19"/>
        <v>8</v>
      </c>
      <c r="Q116" s="3">
        <v>19</v>
      </c>
      <c r="R116" s="3">
        <v>10</v>
      </c>
      <c r="S116" s="3">
        <v>13</v>
      </c>
      <c r="T116" s="3">
        <v>14</v>
      </c>
      <c r="U116" s="3">
        <v>10</v>
      </c>
      <c r="V116" s="3">
        <f t="shared" si="20"/>
        <v>13.2</v>
      </c>
      <c r="W116" s="3">
        <v>16</v>
      </c>
      <c r="X116" s="3">
        <v>12</v>
      </c>
      <c r="Y116" s="3">
        <v>16</v>
      </c>
      <c r="Z116" s="3">
        <v>15</v>
      </c>
      <c r="AA116" s="3">
        <v>16</v>
      </c>
      <c r="AB116" s="3">
        <f t="shared" si="21"/>
        <v>15</v>
      </c>
      <c r="AC116" s="3">
        <v>14.9</v>
      </c>
      <c r="AD116" s="3">
        <v>5.0999999999999996</v>
      </c>
      <c r="AE116" s="3">
        <v>14.6</v>
      </c>
      <c r="AF116" s="3">
        <v>15.1</v>
      </c>
      <c r="AG116" s="3">
        <v>17.600000000000001</v>
      </c>
      <c r="AH116" s="3">
        <f t="shared" si="22"/>
        <v>13.460000000000003</v>
      </c>
      <c r="AI116" s="11">
        <v>57.2</v>
      </c>
      <c r="AJ116" s="4">
        <f t="shared" si="23"/>
        <v>423.70328000000001</v>
      </c>
      <c r="AK116" s="8"/>
      <c r="AL116" s="9"/>
    </row>
    <row r="117" spans="1:38" ht="14.4" customHeight="1" x14ac:dyDescent="0.3">
      <c r="A117" s="2">
        <v>115</v>
      </c>
      <c r="B117" s="2" t="s">
        <v>107</v>
      </c>
      <c r="C117" s="3">
        <v>43</v>
      </c>
      <c r="D117" s="14"/>
      <c r="E117" s="3">
        <v>40.1</v>
      </c>
      <c r="F117" s="3">
        <v>43.1</v>
      </c>
      <c r="G117" s="3">
        <v>56.7</v>
      </c>
      <c r="H117" s="3">
        <v>77.5</v>
      </c>
      <c r="I117" s="3">
        <v>95.4</v>
      </c>
      <c r="J117" s="3">
        <f t="shared" si="18"/>
        <v>62.56</v>
      </c>
      <c r="K117" s="3">
        <v>11</v>
      </c>
      <c r="L117" s="3">
        <v>10</v>
      </c>
      <c r="M117" s="3">
        <v>10</v>
      </c>
      <c r="N117" s="3">
        <v>10</v>
      </c>
      <c r="O117" s="3">
        <v>10</v>
      </c>
      <c r="P117" s="3">
        <f t="shared" si="19"/>
        <v>10.199999999999999</v>
      </c>
      <c r="Q117" s="3">
        <v>17</v>
      </c>
      <c r="R117" s="3">
        <v>14</v>
      </c>
      <c r="S117" s="3">
        <v>16</v>
      </c>
      <c r="T117" s="3">
        <v>14</v>
      </c>
      <c r="U117" s="3">
        <v>12</v>
      </c>
      <c r="V117" s="3">
        <f t="shared" si="20"/>
        <v>14.6</v>
      </c>
      <c r="W117" s="3">
        <v>14</v>
      </c>
      <c r="X117" s="3">
        <v>13</v>
      </c>
      <c r="Y117" s="3">
        <v>16</v>
      </c>
      <c r="Z117" s="3">
        <v>16</v>
      </c>
      <c r="AA117" s="3">
        <v>13</v>
      </c>
      <c r="AB117" s="3">
        <f t="shared" si="21"/>
        <v>14.4</v>
      </c>
      <c r="AC117" s="3">
        <v>11.1</v>
      </c>
      <c r="AD117" s="3">
        <v>12.9</v>
      </c>
      <c r="AE117" s="3">
        <v>14.2</v>
      </c>
      <c r="AF117" s="3">
        <v>10.6</v>
      </c>
      <c r="AG117" s="3">
        <v>11.2</v>
      </c>
      <c r="AH117" s="3">
        <f t="shared" si="22"/>
        <v>12</v>
      </c>
      <c r="AI117" s="11">
        <v>56.23</v>
      </c>
      <c r="AJ117" s="4">
        <f t="shared" si="23"/>
        <v>416.51810199999994</v>
      </c>
      <c r="AK117" s="5"/>
      <c r="AL117" s="4"/>
    </row>
    <row r="118" spans="1:38" ht="14.4" customHeight="1" x14ac:dyDescent="0.3">
      <c r="A118" s="2">
        <v>116</v>
      </c>
      <c r="B118" s="2" t="s">
        <v>108</v>
      </c>
      <c r="C118" s="3">
        <v>43</v>
      </c>
      <c r="D118" s="14"/>
      <c r="E118" s="3">
        <v>75.5</v>
      </c>
      <c r="F118" s="3">
        <v>50.4</v>
      </c>
      <c r="G118" s="3">
        <v>50.5</v>
      </c>
      <c r="H118" s="3">
        <v>66.599999999999994</v>
      </c>
      <c r="I118" s="3">
        <v>53.1</v>
      </c>
      <c r="J118" s="3">
        <f t="shared" si="18"/>
        <v>59.220000000000006</v>
      </c>
      <c r="K118" s="3">
        <v>10</v>
      </c>
      <c r="L118" s="3">
        <v>11</v>
      </c>
      <c r="M118" s="3">
        <v>8</v>
      </c>
      <c r="N118" s="3">
        <v>11</v>
      </c>
      <c r="O118" s="3">
        <v>8</v>
      </c>
      <c r="P118" s="3">
        <f t="shared" si="19"/>
        <v>9.6</v>
      </c>
      <c r="Q118" s="3">
        <v>13</v>
      </c>
      <c r="R118" s="3">
        <v>15</v>
      </c>
      <c r="S118" s="3">
        <v>13</v>
      </c>
      <c r="T118" s="3">
        <v>13</v>
      </c>
      <c r="U118" s="3">
        <v>15</v>
      </c>
      <c r="V118" s="3">
        <f t="shared" si="20"/>
        <v>13.8</v>
      </c>
      <c r="W118" s="3">
        <v>15</v>
      </c>
      <c r="X118" s="3">
        <v>14</v>
      </c>
      <c r="Y118" s="3">
        <v>14</v>
      </c>
      <c r="Z118" s="3">
        <v>14</v>
      </c>
      <c r="AA118" s="3">
        <v>15</v>
      </c>
      <c r="AB118" s="3">
        <f t="shared" si="21"/>
        <v>14.4</v>
      </c>
      <c r="AC118" s="3">
        <v>13.3</v>
      </c>
      <c r="AD118" s="3">
        <v>17.899999999999999</v>
      </c>
      <c r="AE118" s="3">
        <v>16.100000000000001</v>
      </c>
      <c r="AF118" s="3">
        <v>17.3</v>
      </c>
      <c r="AG118" s="3">
        <v>15.2</v>
      </c>
      <c r="AH118" s="3">
        <f t="shared" si="22"/>
        <v>15.959999999999999</v>
      </c>
      <c r="AI118" s="11">
        <v>53.56</v>
      </c>
      <c r="AJ118" s="4">
        <f t="shared" si="23"/>
        <v>396.74034399999999</v>
      </c>
      <c r="AK118" s="5"/>
      <c r="AL118" s="4"/>
    </row>
    <row r="119" spans="1:38" ht="14.4" customHeight="1" x14ac:dyDescent="0.3">
      <c r="A119" s="2">
        <v>117</v>
      </c>
      <c r="B119" s="2" t="s">
        <v>109</v>
      </c>
      <c r="C119" s="3">
        <v>43</v>
      </c>
      <c r="D119" s="14"/>
      <c r="E119" s="3">
        <v>95.2</v>
      </c>
      <c r="F119" s="3">
        <v>45.7</v>
      </c>
      <c r="G119" s="3">
        <v>40.799999999999997</v>
      </c>
      <c r="H119" s="3">
        <v>50</v>
      </c>
      <c r="I119" s="3">
        <v>65.400000000000006</v>
      </c>
      <c r="J119" s="3">
        <f t="shared" si="18"/>
        <v>59.42</v>
      </c>
      <c r="K119" s="3">
        <v>10</v>
      </c>
      <c r="L119" s="3">
        <v>10</v>
      </c>
      <c r="M119" s="3">
        <v>9</v>
      </c>
      <c r="N119" s="3">
        <v>8</v>
      </c>
      <c r="O119" s="3">
        <v>8</v>
      </c>
      <c r="P119" s="3">
        <f t="shared" si="19"/>
        <v>9</v>
      </c>
      <c r="Q119" s="3">
        <v>14</v>
      </c>
      <c r="R119" s="3">
        <v>15</v>
      </c>
      <c r="S119" s="3">
        <v>11</v>
      </c>
      <c r="T119" s="3">
        <v>14</v>
      </c>
      <c r="U119" s="3">
        <v>14</v>
      </c>
      <c r="V119" s="3">
        <f t="shared" si="20"/>
        <v>13.6</v>
      </c>
      <c r="W119" s="3">
        <v>13</v>
      </c>
      <c r="X119" s="3">
        <v>16</v>
      </c>
      <c r="Y119" s="3">
        <v>16</v>
      </c>
      <c r="Z119" s="3">
        <v>12</v>
      </c>
      <c r="AA119" s="3">
        <v>16</v>
      </c>
      <c r="AB119" s="3">
        <f t="shared" si="21"/>
        <v>14.6</v>
      </c>
      <c r="AC119" s="3">
        <v>18.600000000000001</v>
      </c>
      <c r="AD119" s="3">
        <v>13.2</v>
      </c>
      <c r="AE119" s="3">
        <v>15.6</v>
      </c>
      <c r="AF119" s="3">
        <v>15.7</v>
      </c>
      <c r="AG119" s="3">
        <v>11</v>
      </c>
      <c r="AH119" s="3">
        <f t="shared" si="22"/>
        <v>14.819999999999999</v>
      </c>
      <c r="AI119" s="11">
        <v>58</v>
      </c>
      <c r="AJ119" s="4">
        <f t="shared" si="23"/>
        <v>429.62919999999997</v>
      </c>
      <c r="AK119" s="5"/>
      <c r="AL119" s="4"/>
    </row>
    <row r="120" spans="1:38" ht="14.4" customHeight="1" x14ac:dyDescent="0.3">
      <c r="A120" s="2">
        <v>118</v>
      </c>
      <c r="B120" s="2" t="s">
        <v>110</v>
      </c>
      <c r="C120" s="3">
        <v>40</v>
      </c>
      <c r="D120" s="14"/>
      <c r="E120" s="3">
        <v>45.7</v>
      </c>
      <c r="F120" s="3">
        <v>70</v>
      </c>
      <c r="G120" s="3">
        <v>40.5</v>
      </c>
      <c r="H120" s="3">
        <v>74</v>
      </c>
      <c r="I120" s="3">
        <v>30.5</v>
      </c>
      <c r="J120" s="3">
        <f t="shared" si="18"/>
        <v>52.14</v>
      </c>
      <c r="K120" s="3">
        <v>8</v>
      </c>
      <c r="L120" s="3">
        <v>6</v>
      </c>
      <c r="M120" s="3">
        <v>8</v>
      </c>
      <c r="N120" s="3">
        <v>7</v>
      </c>
      <c r="O120" s="3">
        <v>6</v>
      </c>
      <c r="P120" s="3">
        <f t="shared" si="19"/>
        <v>7</v>
      </c>
      <c r="Q120" s="3">
        <v>10</v>
      </c>
      <c r="R120" s="3">
        <v>11</v>
      </c>
      <c r="S120" s="3">
        <v>12</v>
      </c>
      <c r="T120" s="3">
        <v>15</v>
      </c>
      <c r="U120" s="3">
        <v>14</v>
      </c>
      <c r="V120" s="3">
        <f t="shared" si="20"/>
        <v>12.4</v>
      </c>
      <c r="W120" s="3">
        <v>14</v>
      </c>
      <c r="X120" s="3">
        <v>14</v>
      </c>
      <c r="Y120" s="3">
        <v>14</v>
      </c>
      <c r="Z120" s="3">
        <v>14</v>
      </c>
      <c r="AA120" s="3">
        <v>12</v>
      </c>
      <c r="AB120" s="3">
        <f t="shared" si="21"/>
        <v>13.6</v>
      </c>
      <c r="AC120" s="3">
        <v>16.399999999999999</v>
      </c>
      <c r="AD120" s="3">
        <v>13.1</v>
      </c>
      <c r="AE120" s="3">
        <v>16.2</v>
      </c>
      <c r="AF120" s="3">
        <v>15.6</v>
      </c>
      <c r="AG120" s="3">
        <v>18</v>
      </c>
      <c r="AH120" s="3">
        <f t="shared" si="22"/>
        <v>15.860000000000003</v>
      </c>
      <c r="AI120" s="11">
        <v>64.599999999999994</v>
      </c>
      <c r="AJ120" s="4">
        <f t="shared" si="23"/>
        <v>478.51803999999993</v>
      </c>
      <c r="AK120" s="5"/>
      <c r="AL120" s="4"/>
    </row>
    <row r="121" spans="1:38" ht="14.4" customHeight="1" x14ac:dyDescent="0.3">
      <c r="A121" s="2">
        <v>119</v>
      </c>
      <c r="B121" s="2" t="s">
        <v>111</v>
      </c>
      <c r="C121" s="3">
        <v>40</v>
      </c>
      <c r="D121" s="14"/>
      <c r="E121" s="3">
        <v>55.5</v>
      </c>
      <c r="F121" s="3">
        <v>70.5</v>
      </c>
      <c r="G121" s="3">
        <v>96.1</v>
      </c>
      <c r="H121" s="3">
        <v>45.3</v>
      </c>
      <c r="I121" s="3">
        <v>60.5</v>
      </c>
      <c r="J121" s="3">
        <f t="shared" si="18"/>
        <v>65.58</v>
      </c>
      <c r="K121" s="3">
        <v>7</v>
      </c>
      <c r="L121" s="3">
        <v>5</v>
      </c>
      <c r="M121" s="3">
        <v>5</v>
      </c>
      <c r="N121" s="3">
        <v>7</v>
      </c>
      <c r="O121" s="3">
        <v>7</v>
      </c>
      <c r="P121" s="3">
        <f t="shared" si="19"/>
        <v>6.2</v>
      </c>
      <c r="Q121" s="3">
        <v>10</v>
      </c>
      <c r="R121" s="3">
        <v>11</v>
      </c>
      <c r="S121" s="3">
        <v>11</v>
      </c>
      <c r="T121" s="3">
        <v>13</v>
      </c>
      <c r="U121" s="3">
        <v>15</v>
      </c>
      <c r="V121" s="3">
        <f t="shared" si="20"/>
        <v>12</v>
      </c>
      <c r="W121" s="3">
        <v>17</v>
      </c>
      <c r="X121" s="3">
        <v>14</v>
      </c>
      <c r="Y121" s="3">
        <v>13</v>
      </c>
      <c r="Z121" s="3">
        <v>17</v>
      </c>
      <c r="AA121" s="3">
        <v>16</v>
      </c>
      <c r="AB121" s="3">
        <f t="shared" si="21"/>
        <v>15.4</v>
      </c>
      <c r="AC121" s="3">
        <v>12.6</v>
      </c>
      <c r="AD121" s="3">
        <v>13.8</v>
      </c>
      <c r="AE121" s="3">
        <v>10.9</v>
      </c>
      <c r="AF121" s="3">
        <v>13.4</v>
      </c>
      <c r="AG121" s="3">
        <v>17.100000000000001</v>
      </c>
      <c r="AH121" s="3">
        <f t="shared" si="22"/>
        <v>13.559999999999999</v>
      </c>
      <c r="AI121" s="11">
        <v>89.05</v>
      </c>
      <c r="AJ121" s="4">
        <f t="shared" si="23"/>
        <v>659.62896999999998</v>
      </c>
      <c r="AK121" s="5"/>
      <c r="AL121" s="4"/>
    </row>
    <row r="122" spans="1:38" ht="14.4" customHeight="1" x14ac:dyDescent="0.3">
      <c r="A122" s="2">
        <v>120</v>
      </c>
      <c r="B122" s="2" t="s">
        <v>112</v>
      </c>
      <c r="C122" s="3">
        <v>40</v>
      </c>
      <c r="D122" s="14"/>
      <c r="E122" s="3">
        <v>55</v>
      </c>
      <c r="F122" s="3">
        <v>40.1</v>
      </c>
      <c r="G122" s="3">
        <v>65.5</v>
      </c>
      <c r="H122" s="3">
        <v>75</v>
      </c>
      <c r="I122" s="3">
        <v>45.5</v>
      </c>
      <c r="J122" s="3">
        <f t="shared" si="18"/>
        <v>56.220000000000006</v>
      </c>
      <c r="K122" s="3">
        <v>6</v>
      </c>
      <c r="L122" s="3">
        <v>8</v>
      </c>
      <c r="M122" s="3">
        <v>6</v>
      </c>
      <c r="N122" s="3">
        <v>6</v>
      </c>
      <c r="O122" s="3">
        <v>7</v>
      </c>
      <c r="P122" s="3">
        <f t="shared" si="19"/>
        <v>6.6</v>
      </c>
      <c r="Q122" s="3">
        <v>11</v>
      </c>
      <c r="R122" s="3">
        <v>13</v>
      </c>
      <c r="S122" s="3">
        <v>14</v>
      </c>
      <c r="T122" s="3">
        <v>14</v>
      </c>
      <c r="U122" s="3">
        <v>11</v>
      </c>
      <c r="V122" s="3">
        <f t="shared" si="20"/>
        <v>12.6</v>
      </c>
      <c r="W122" s="3">
        <v>17</v>
      </c>
      <c r="X122" s="3">
        <v>16</v>
      </c>
      <c r="Y122" s="3">
        <v>12</v>
      </c>
      <c r="Z122" s="3">
        <v>12</v>
      </c>
      <c r="AA122" s="3">
        <v>18</v>
      </c>
      <c r="AB122" s="3">
        <f t="shared" si="21"/>
        <v>15</v>
      </c>
      <c r="AC122" s="3">
        <v>13</v>
      </c>
      <c r="AD122" s="3">
        <v>13.3</v>
      </c>
      <c r="AE122" s="3">
        <v>16.7</v>
      </c>
      <c r="AF122" s="3">
        <v>10</v>
      </c>
      <c r="AG122" s="3">
        <v>17.3</v>
      </c>
      <c r="AH122" s="3">
        <f t="shared" si="22"/>
        <v>14.059999999999999</v>
      </c>
      <c r="AI122" s="11">
        <v>69.599999999999994</v>
      </c>
      <c r="AJ122" s="4">
        <f t="shared" si="23"/>
        <v>515.55503999999996</v>
      </c>
      <c r="AK122" s="8"/>
      <c r="AL122" s="9"/>
    </row>
    <row r="123" spans="1:38" ht="14.4" customHeight="1" x14ac:dyDescent="0.3">
      <c r="A123" s="2">
        <v>121</v>
      </c>
      <c r="B123" s="2" t="s">
        <v>113</v>
      </c>
      <c r="C123" s="3">
        <v>40</v>
      </c>
      <c r="D123" s="14"/>
      <c r="E123" s="3">
        <v>95.8</v>
      </c>
      <c r="F123" s="3">
        <v>76.400000000000006</v>
      </c>
      <c r="G123" s="3">
        <v>93.5</v>
      </c>
      <c r="H123" s="3">
        <v>60.4</v>
      </c>
      <c r="I123" s="3">
        <v>77</v>
      </c>
      <c r="J123" s="3">
        <f t="shared" si="18"/>
        <v>80.61999999999999</v>
      </c>
      <c r="K123" s="3">
        <v>7</v>
      </c>
      <c r="L123" s="3">
        <v>6</v>
      </c>
      <c r="M123" s="3">
        <v>9</v>
      </c>
      <c r="N123" s="3">
        <v>7</v>
      </c>
      <c r="O123" s="3">
        <v>7</v>
      </c>
      <c r="P123" s="3">
        <f t="shared" si="19"/>
        <v>7.2</v>
      </c>
      <c r="Q123" s="3">
        <v>11</v>
      </c>
      <c r="R123" s="3">
        <v>14</v>
      </c>
      <c r="S123" s="3">
        <v>13</v>
      </c>
      <c r="T123" s="3">
        <v>14</v>
      </c>
      <c r="U123" s="3">
        <v>12</v>
      </c>
      <c r="V123" s="3">
        <f t="shared" si="20"/>
        <v>12.8</v>
      </c>
      <c r="W123" s="3">
        <v>14</v>
      </c>
      <c r="X123" s="3">
        <v>17</v>
      </c>
      <c r="Y123" s="3">
        <v>16</v>
      </c>
      <c r="Z123" s="3">
        <v>17</v>
      </c>
      <c r="AA123" s="3">
        <v>17</v>
      </c>
      <c r="AB123" s="3">
        <f t="shared" si="21"/>
        <v>16.2</v>
      </c>
      <c r="AC123" s="3">
        <v>13.8</v>
      </c>
      <c r="AD123" s="3">
        <v>13.1</v>
      </c>
      <c r="AE123" s="3">
        <v>10.7</v>
      </c>
      <c r="AF123" s="3">
        <v>14.7</v>
      </c>
      <c r="AG123" s="3">
        <v>15.1</v>
      </c>
      <c r="AH123" s="3">
        <f t="shared" si="22"/>
        <v>13.479999999999999</v>
      </c>
      <c r="AI123" s="11">
        <v>108.7</v>
      </c>
      <c r="AJ123" s="4">
        <f t="shared" si="23"/>
        <v>805.18438000000003</v>
      </c>
      <c r="AK123" s="8"/>
      <c r="AL123" s="9"/>
    </row>
    <row r="124" spans="1:38" ht="14.4" customHeight="1" x14ac:dyDescent="0.3">
      <c r="A124" s="2">
        <v>122</v>
      </c>
      <c r="B124" s="2" t="s">
        <v>114</v>
      </c>
      <c r="C124" s="3">
        <v>42</v>
      </c>
      <c r="D124" s="14"/>
      <c r="E124" s="3">
        <v>42.4</v>
      </c>
      <c r="F124" s="3">
        <v>66.8</v>
      </c>
      <c r="G124" s="3">
        <v>45.7</v>
      </c>
      <c r="H124" s="3">
        <v>60.3</v>
      </c>
      <c r="I124" s="3">
        <v>75.8</v>
      </c>
      <c r="J124" s="3">
        <f t="shared" si="18"/>
        <v>58.2</v>
      </c>
      <c r="K124" s="3">
        <v>5</v>
      </c>
      <c r="L124" s="3">
        <v>5</v>
      </c>
      <c r="M124" s="3">
        <v>6</v>
      </c>
      <c r="N124" s="3">
        <v>4</v>
      </c>
      <c r="O124" s="3">
        <v>4</v>
      </c>
      <c r="P124" s="3">
        <f t="shared" si="19"/>
        <v>4.8</v>
      </c>
      <c r="Q124" s="3">
        <v>11</v>
      </c>
      <c r="R124" s="3">
        <v>10</v>
      </c>
      <c r="S124" s="3">
        <v>13</v>
      </c>
      <c r="T124" s="3">
        <v>11</v>
      </c>
      <c r="U124" s="3">
        <v>11</v>
      </c>
      <c r="V124" s="3">
        <f t="shared" si="20"/>
        <v>11.2</v>
      </c>
      <c r="W124" s="3">
        <v>15</v>
      </c>
      <c r="X124" s="3">
        <v>14</v>
      </c>
      <c r="Y124" s="3">
        <v>16</v>
      </c>
      <c r="Z124" s="3">
        <v>13</v>
      </c>
      <c r="AA124" s="3">
        <v>13</v>
      </c>
      <c r="AB124" s="3">
        <f t="shared" si="21"/>
        <v>14.2</v>
      </c>
      <c r="AC124" s="3">
        <v>11.9</v>
      </c>
      <c r="AD124" s="3">
        <v>13.1</v>
      </c>
      <c r="AE124" s="3">
        <v>12.5</v>
      </c>
      <c r="AF124" s="3">
        <v>16</v>
      </c>
      <c r="AG124" s="3">
        <v>15.6</v>
      </c>
      <c r="AH124" s="3">
        <f t="shared" si="22"/>
        <v>13.819999999999999</v>
      </c>
      <c r="AI124" s="11">
        <v>63.6</v>
      </c>
      <c r="AJ124" s="4">
        <f t="shared" si="23"/>
        <v>471.11063999999999</v>
      </c>
      <c r="AK124" s="5"/>
      <c r="AL124" s="4"/>
    </row>
    <row r="125" spans="1:38" ht="14.4" customHeight="1" x14ac:dyDescent="0.3">
      <c r="A125" s="2">
        <v>123</v>
      </c>
      <c r="B125" s="2"/>
      <c r="C125" s="3">
        <v>43</v>
      </c>
      <c r="D125" s="14"/>
      <c r="E125" s="3">
        <v>35.700000000000003</v>
      </c>
      <c r="F125" s="3">
        <v>66.5</v>
      </c>
      <c r="G125" s="3">
        <v>60</v>
      </c>
      <c r="H125" s="3">
        <v>75.3</v>
      </c>
      <c r="I125" s="3">
        <v>53</v>
      </c>
      <c r="J125" s="3">
        <f t="shared" si="18"/>
        <v>58.1</v>
      </c>
      <c r="K125" s="3">
        <v>8</v>
      </c>
      <c r="L125" s="3">
        <v>7</v>
      </c>
      <c r="M125" s="3">
        <v>8</v>
      </c>
      <c r="N125" s="3">
        <v>7</v>
      </c>
      <c r="O125" s="3">
        <v>7</v>
      </c>
      <c r="P125" s="3">
        <f t="shared" si="19"/>
        <v>7.4</v>
      </c>
      <c r="Q125" s="3">
        <v>18</v>
      </c>
      <c r="R125" s="3">
        <v>12</v>
      </c>
      <c r="S125" s="3">
        <v>10</v>
      </c>
      <c r="T125" s="3">
        <v>12</v>
      </c>
      <c r="U125" s="3">
        <v>13</v>
      </c>
      <c r="V125" s="3">
        <f t="shared" si="20"/>
        <v>13</v>
      </c>
      <c r="W125" s="3">
        <v>16</v>
      </c>
      <c r="X125" s="3">
        <v>13</v>
      </c>
      <c r="Y125" s="3">
        <v>15</v>
      </c>
      <c r="Z125" s="3">
        <v>14</v>
      </c>
      <c r="AA125" s="3">
        <v>14</v>
      </c>
      <c r="AB125" s="3">
        <f t="shared" si="21"/>
        <v>14.4</v>
      </c>
      <c r="AC125" s="3">
        <v>16.399999999999999</v>
      </c>
      <c r="AD125" s="3">
        <v>13.7</v>
      </c>
      <c r="AE125" s="3">
        <v>13.6</v>
      </c>
      <c r="AF125" s="3">
        <v>15.1</v>
      </c>
      <c r="AG125" s="3">
        <v>14.4</v>
      </c>
      <c r="AH125" s="3">
        <f t="shared" si="22"/>
        <v>14.64</v>
      </c>
      <c r="AI125" s="11">
        <v>59.53</v>
      </c>
      <c r="AJ125" s="4">
        <f t="shared" si="23"/>
        <v>440.96252199999998</v>
      </c>
      <c r="AK125" s="5"/>
      <c r="AL125" s="4"/>
    </row>
    <row r="126" spans="1:38" ht="14.4" customHeight="1" x14ac:dyDescent="0.3">
      <c r="A126" s="2">
        <v>124</v>
      </c>
      <c r="B126" s="2"/>
      <c r="C126" s="3">
        <v>40</v>
      </c>
      <c r="D126" s="14"/>
      <c r="E126" s="3">
        <v>70.900000000000006</v>
      </c>
      <c r="F126" s="3">
        <v>57.9</v>
      </c>
      <c r="G126" s="3">
        <v>95</v>
      </c>
      <c r="H126" s="3">
        <v>76.900000000000006</v>
      </c>
      <c r="I126" s="3">
        <v>47</v>
      </c>
      <c r="J126" s="3">
        <f t="shared" si="18"/>
        <v>69.540000000000006</v>
      </c>
      <c r="K126" s="3">
        <v>5</v>
      </c>
      <c r="L126" s="3">
        <v>3</v>
      </c>
      <c r="M126" s="3">
        <v>3</v>
      </c>
      <c r="N126" s="3">
        <v>3</v>
      </c>
      <c r="O126" s="3">
        <v>3</v>
      </c>
      <c r="P126" s="3">
        <f t="shared" si="19"/>
        <v>3.4</v>
      </c>
      <c r="Q126" s="3">
        <v>11</v>
      </c>
      <c r="R126" s="3">
        <v>12</v>
      </c>
      <c r="S126" s="3">
        <v>11</v>
      </c>
      <c r="T126" s="3">
        <v>10</v>
      </c>
      <c r="U126" s="3">
        <v>11</v>
      </c>
      <c r="V126" s="3">
        <f t="shared" si="20"/>
        <v>11</v>
      </c>
      <c r="W126" s="3">
        <v>15</v>
      </c>
      <c r="X126" s="3">
        <v>17</v>
      </c>
      <c r="Y126" s="3">
        <v>15</v>
      </c>
      <c r="Z126" s="3">
        <v>16</v>
      </c>
      <c r="AA126" s="3">
        <v>15</v>
      </c>
      <c r="AB126" s="3">
        <f t="shared" si="21"/>
        <v>15.6</v>
      </c>
      <c r="AC126" s="3">
        <v>12.6</v>
      </c>
      <c r="AD126" s="3">
        <v>13.8</v>
      </c>
      <c r="AE126" s="3">
        <v>9</v>
      </c>
      <c r="AF126" s="3">
        <v>10</v>
      </c>
      <c r="AG126" s="3">
        <v>17.7</v>
      </c>
      <c r="AH126" s="3">
        <f t="shared" si="22"/>
        <v>12.62</v>
      </c>
      <c r="AI126" s="11">
        <v>98.38</v>
      </c>
      <c r="AJ126" s="4">
        <f t="shared" si="23"/>
        <v>728.74001199999998</v>
      </c>
      <c r="AK126" s="5"/>
      <c r="AL126" s="4"/>
    </row>
    <row r="127" spans="1:38" ht="15.6" customHeight="1" x14ac:dyDescent="0.3">
      <c r="A127" s="2">
        <v>125</v>
      </c>
      <c r="B127" s="2"/>
      <c r="C127" s="3">
        <v>53</v>
      </c>
      <c r="D127" s="17"/>
      <c r="E127" s="3">
        <v>55.3</v>
      </c>
      <c r="F127" s="3">
        <v>48.7</v>
      </c>
      <c r="G127" s="3">
        <v>50.7</v>
      </c>
      <c r="H127" s="3">
        <v>52.9</v>
      </c>
      <c r="I127" s="3">
        <v>54.6</v>
      </c>
      <c r="J127" s="3">
        <f t="shared" si="18"/>
        <v>52.44</v>
      </c>
      <c r="K127" s="3">
        <v>9</v>
      </c>
      <c r="L127" s="3">
        <v>7</v>
      </c>
      <c r="M127" s="3">
        <v>9</v>
      </c>
      <c r="N127" s="3">
        <v>7</v>
      </c>
      <c r="O127" s="3">
        <v>7</v>
      </c>
      <c r="P127" s="3">
        <f t="shared" si="19"/>
        <v>7.8</v>
      </c>
      <c r="Q127" s="3">
        <v>12</v>
      </c>
      <c r="R127" s="3">
        <v>15</v>
      </c>
      <c r="S127" s="3">
        <v>15</v>
      </c>
      <c r="T127" s="3">
        <v>11</v>
      </c>
      <c r="U127" s="3">
        <v>12</v>
      </c>
      <c r="V127" s="3">
        <f t="shared" si="20"/>
        <v>13</v>
      </c>
      <c r="W127" s="3">
        <v>13</v>
      </c>
      <c r="X127" s="3">
        <v>13</v>
      </c>
      <c r="Y127" s="3">
        <v>13</v>
      </c>
      <c r="Z127" s="3">
        <v>13</v>
      </c>
      <c r="AA127" s="3">
        <v>15</v>
      </c>
      <c r="AB127" s="3">
        <f t="shared" si="21"/>
        <v>13.4</v>
      </c>
      <c r="AC127" s="3">
        <v>10.5</v>
      </c>
      <c r="AD127" s="3">
        <v>11.3</v>
      </c>
      <c r="AE127" s="3">
        <v>10.9</v>
      </c>
      <c r="AF127" s="3">
        <v>12.3</v>
      </c>
      <c r="AG127" s="3">
        <v>13.1</v>
      </c>
      <c r="AH127" s="3">
        <f t="shared" si="22"/>
        <v>11.620000000000001</v>
      </c>
      <c r="AI127" s="11">
        <v>67.23</v>
      </c>
      <c r="AJ127" s="4">
        <f t="shared" si="23"/>
        <v>497.99950200000001</v>
      </c>
      <c r="AK127" s="5"/>
      <c r="AL127" s="4"/>
    </row>
    <row r="128" spans="1:38" ht="14.4" customHeight="1" x14ac:dyDescent="0.3">
      <c r="A128" s="2">
        <v>126</v>
      </c>
      <c r="B128" s="2"/>
      <c r="C128" s="3">
        <v>46</v>
      </c>
      <c r="D128" s="14"/>
      <c r="E128" s="3">
        <v>66.400000000000006</v>
      </c>
      <c r="F128" s="3">
        <v>60.9</v>
      </c>
      <c r="G128" s="3">
        <v>58.3</v>
      </c>
      <c r="H128" s="3">
        <v>45.8</v>
      </c>
      <c r="I128" s="3">
        <v>48.9</v>
      </c>
      <c r="J128" s="3">
        <f t="shared" si="18"/>
        <v>56.06</v>
      </c>
      <c r="K128" s="3">
        <v>3</v>
      </c>
      <c r="L128" s="3">
        <v>6</v>
      </c>
      <c r="M128" s="3">
        <v>6</v>
      </c>
      <c r="N128" s="3">
        <v>5</v>
      </c>
      <c r="O128" s="3">
        <v>6</v>
      </c>
      <c r="P128" s="3">
        <f t="shared" si="19"/>
        <v>5.2</v>
      </c>
      <c r="Q128" s="3">
        <v>11</v>
      </c>
      <c r="R128" s="3">
        <v>11</v>
      </c>
      <c r="S128" s="3">
        <v>13</v>
      </c>
      <c r="T128" s="3">
        <v>11</v>
      </c>
      <c r="U128" s="3">
        <v>11</v>
      </c>
      <c r="V128" s="3">
        <f t="shared" si="20"/>
        <v>11.4</v>
      </c>
      <c r="W128" s="3">
        <v>16</v>
      </c>
      <c r="X128" s="3">
        <v>14</v>
      </c>
      <c r="Y128" s="3">
        <v>14</v>
      </c>
      <c r="Z128" s="3">
        <v>15</v>
      </c>
      <c r="AA128" s="3">
        <v>16</v>
      </c>
      <c r="AB128" s="3">
        <f t="shared" si="21"/>
        <v>15</v>
      </c>
      <c r="AC128" s="3">
        <v>12.2</v>
      </c>
      <c r="AD128" s="3">
        <v>13</v>
      </c>
      <c r="AE128" s="3">
        <v>15.5</v>
      </c>
      <c r="AF128" s="3">
        <v>14.5</v>
      </c>
      <c r="AG128" s="3">
        <v>10.5</v>
      </c>
      <c r="AH128" s="3">
        <f t="shared" si="22"/>
        <v>13.14</v>
      </c>
      <c r="AI128" s="11">
        <v>83.5</v>
      </c>
      <c r="AJ128" s="4">
        <f t="shared" si="23"/>
        <v>618.51790000000005</v>
      </c>
      <c r="AK128" s="5"/>
      <c r="AL128" s="4"/>
    </row>
    <row r="129" spans="1:38" ht="14.4" customHeight="1" x14ac:dyDescent="0.3">
      <c r="A129" s="2">
        <v>127</v>
      </c>
      <c r="B129" s="2"/>
      <c r="C129" s="3">
        <v>42</v>
      </c>
      <c r="D129" s="14"/>
      <c r="E129" s="3">
        <v>46.3</v>
      </c>
      <c r="F129" s="3">
        <v>35.6</v>
      </c>
      <c r="G129" s="3">
        <v>76.599999999999994</v>
      </c>
      <c r="H129" s="3">
        <v>78.5</v>
      </c>
      <c r="I129" s="3">
        <v>65.599999999999994</v>
      </c>
      <c r="J129" s="3">
        <f t="shared" si="18"/>
        <v>60.52</v>
      </c>
      <c r="K129" s="3">
        <v>7</v>
      </c>
      <c r="L129" s="3">
        <v>7</v>
      </c>
      <c r="M129" s="3">
        <v>5</v>
      </c>
      <c r="N129" s="3">
        <v>5</v>
      </c>
      <c r="O129" s="3">
        <v>7</v>
      </c>
      <c r="P129" s="3">
        <f t="shared" si="19"/>
        <v>6.2</v>
      </c>
      <c r="Q129" s="3">
        <v>13</v>
      </c>
      <c r="R129" s="3">
        <v>12</v>
      </c>
      <c r="S129" s="3">
        <v>13</v>
      </c>
      <c r="T129" s="3">
        <v>12</v>
      </c>
      <c r="U129" s="3">
        <v>11</v>
      </c>
      <c r="V129" s="3">
        <f t="shared" si="20"/>
        <v>12.2</v>
      </c>
      <c r="W129" s="3">
        <v>16</v>
      </c>
      <c r="X129" s="3">
        <v>15</v>
      </c>
      <c r="Y129" s="3">
        <v>13</v>
      </c>
      <c r="Z129" s="3">
        <v>13</v>
      </c>
      <c r="AA129" s="3">
        <v>13</v>
      </c>
      <c r="AB129" s="3">
        <f t="shared" si="21"/>
        <v>14</v>
      </c>
      <c r="AC129" s="3">
        <v>11.7</v>
      </c>
      <c r="AD129" s="3">
        <v>13.6</v>
      </c>
      <c r="AE129" s="3">
        <v>10.8</v>
      </c>
      <c r="AF129" s="3">
        <v>14.6</v>
      </c>
      <c r="AG129" s="3">
        <v>9.1999999999999993</v>
      </c>
      <c r="AH129" s="3">
        <f t="shared" si="22"/>
        <v>11.979999999999999</v>
      </c>
      <c r="AI129" s="11">
        <v>67.819999999999993</v>
      </c>
      <c r="AJ129" s="4">
        <f t="shared" si="23"/>
        <v>502.36986799999988</v>
      </c>
      <c r="AK129" s="5"/>
      <c r="AL129" s="9"/>
    </row>
    <row r="130" spans="1:38" ht="14.4" customHeight="1" x14ac:dyDescent="0.3">
      <c r="A130" s="2">
        <v>128</v>
      </c>
      <c r="B130" s="10" t="s">
        <v>30</v>
      </c>
      <c r="C130" s="6">
        <v>40</v>
      </c>
      <c r="D130" s="15"/>
      <c r="E130" s="6">
        <v>70.400000000000006</v>
      </c>
      <c r="F130" s="6">
        <v>71</v>
      </c>
      <c r="G130" s="6">
        <v>69.7</v>
      </c>
      <c r="H130" s="6">
        <v>71.099999999999994</v>
      </c>
      <c r="I130" s="6">
        <v>69.8</v>
      </c>
      <c r="J130" s="6">
        <f t="shared" si="18"/>
        <v>70.400000000000006</v>
      </c>
      <c r="K130" s="6">
        <v>7</v>
      </c>
      <c r="L130" s="6">
        <v>7</v>
      </c>
      <c r="M130" s="6">
        <v>6</v>
      </c>
      <c r="N130" s="6">
        <v>7</v>
      </c>
      <c r="O130" s="6">
        <v>6</v>
      </c>
      <c r="P130" s="6">
        <f t="shared" si="19"/>
        <v>6.6</v>
      </c>
      <c r="Q130" s="6">
        <v>12</v>
      </c>
      <c r="R130" s="6">
        <v>11</v>
      </c>
      <c r="S130" s="6">
        <v>12</v>
      </c>
      <c r="T130" s="6">
        <v>12</v>
      </c>
      <c r="U130" s="6">
        <v>12</v>
      </c>
      <c r="V130" s="3">
        <f t="shared" si="20"/>
        <v>11.8</v>
      </c>
      <c r="W130" s="6">
        <v>13</v>
      </c>
      <c r="X130" s="6">
        <v>12</v>
      </c>
      <c r="Y130" s="6">
        <v>13</v>
      </c>
      <c r="Z130" s="6">
        <v>12</v>
      </c>
      <c r="AA130" s="6">
        <v>13</v>
      </c>
      <c r="AB130" s="3">
        <f t="shared" si="21"/>
        <v>12.6</v>
      </c>
      <c r="AC130" s="6">
        <v>13.1</v>
      </c>
      <c r="AD130" s="6">
        <v>13</v>
      </c>
      <c r="AE130" s="6">
        <v>12.8</v>
      </c>
      <c r="AF130" s="6">
        <v>13.1</v>
      </c>
      <c r="AG130" s="6">
        <v>13</v>
      </c>
      <c r="AH130" s="3">
        <f t="shared" si="22"/>
        <v>13</v>
      </c>
      <c r="AI130" s="7">
        <v>54.34</v>
      </c>
      <c r="AJ130" s="4">
        <f t="shared" si="23"/>
        <v>402.51811599999996</v>
      </c>
      <c r="AK130" s="8"/>
      <c r="AL130" s="9"/>
    </row>
    <row r="131" spans="1:38" ht="14.4" customHeight="1" x14ac:dyDescent="0.3">
      <c r="A131" s="2">
        <v>129</v>
      </c>
      <c r="B131" s="10" t="s">
        <v>31</v>
      </c>
      <c r="C131" s="6">
        <v>40</v>
      </c>
      <c r="D131" s="15"/>
      <c r="E131" s="6">
        <v>58.3</v>
      </c>
      <c r="F131" s="6">
        <v>53.2</v>
      </c>
      <c r="G131" s="6">
        <v>59.3</v>
      </c>
      <c r="H131" s="6">
        <v>64</v>
      </c>
      <c r="I131" s="6">
        <v>65.099999999999994</v>
      </c>
      <c r="J131" s="6">
        <f t="shared" ref="J131:J162" si="24">AVERAGE(E131:I131)</f>
        <v>59.98</v>
      </c>
      <c r="K131" s="6">
        <v>8</v>
      </c>
      <c r="L131" s="6">
        <v>8</v>
      </c>
      <c r="M131" s="6">
        <v>8</v>
      </c>
      <c r="N131" s="6">
        <v>8</v>
      </c>
      <c r="O131" s="6">
        <v>8</v>
      </c>
      <c r="P131" s="6">
        <f t="shared" ref="P131:P162" si="25">AVERAGE(K131:O131)</f>
        <v>8</v>
      </c>
      <c r="Q131" s="6">
        <v>12</v>
      </c>
      <c r="R131" s="6">
        <v>14</v>
      </c>
      <c r="S131" s="6">
        <v>13</v>
      </c>
      <c r="T131" s="6">
        <v>13</v>
      </c>
      <c r="U131" s="6">
        <v>12</v>
      </c>
      <c r="V131" s="3">
        <f t="shared" ref="V131:V162" si="26">AVERAGE(Q131:U131)</f>
        <v>12.8</v>
      </c>
      <c r="W131" s="6">
        <v>17</v>
      </c>
      <c r="X131" s="6">
        <v>17</v>
      </c>
      <c r="Y131" s="6">
        <v>16</v>
      </c>
      <c r="Z131" s="6">
        <v>17</v>
      </c>
      <c r="AA131" s="6">
        <v>17</v>
      </c>
      <c r="AB131" s="3">
        <f t="shared" ref="AB131:AB162" si="27">AVERAGE(W131:AA131)</f>
        <v>16.8</v>
      </c>
      <c r="AC131" s="6">
        <v>14.7</v>
      </c>
      <c r="AD131" s="6">
        <v>14.5</v>
      </c>
      <c r="AE131" s="6">
        <v>14.6</v>
      </c>
      <c r="AF131" s="6">
        <v>14.7</v>
      </c>
      <c r="AG131" s="6">
        <v>14.5</v>
      </c>
      <c r="AH131" s="3">
        <f t="shared" ref="AH131:AH162" si="28">AVERAGE(AC131:AG131)</f>
        <v>14.6</v>
      </c>
      <c r="AI131" s="7">
        <v>59.42</v>
      </c>
      <c r="AJ131" s="4">
        <f t="shared" ref="AJ131:AJ162" si="29">AI131*7407.4/1000</f>
        <v>440.14770799999997</v>
      </c>
      <c r="AK131" s="5"/>
      <c r="AL131" s="4"/>
    </row>
    <row r="132" spans="1:38" ht="14.4" customHeight="1" x14ac:dyDescent="0.3">
      <c r="A132" s="2">
        <v>130</v>
      </c>
      <c r="B132" s="10" t="s">
        <v>32</v>
      </c>
      <c r="C132" s="10">
        <v>54</v>
      </c>
      <c r="D132" s="15"/>
      <c r="E132" s="6">
        <v>47.2</v>
      </c>
      <c r="F132" s="6">
        <v>47.8</v>
      </c>
      <c r="G132" s="6">
        <v>47.4</v>
      </c>
      <c r="H132" s="6">
        <v>47.4</v>
      </c>
      <c r="I132" s="6">
        <v>47.1</v>
      </c>
      <c r="J132" s="6">
        <f t="shared" si="24"/>
        <v>47.38</v>
      </c>
      <c r="K132" s="6">
        <v>7</v>
      </c>
      <c r="L132" s="6">
        <v>6</v>
      </c>
      <c r="M132" s="6">
        <v>7</v>
      </c>
      <c r="N132" s="6">
        <v>7</v>
      </c>
      <c r="O132" s="6">
        <v>6</v>
      </c>
      <c r="P132" s="6">
        <f t="shared" si="25"/>
        <v>6.6</v>
      </c>
      <c r="Q132" s="6">
        <v>13</v>
      </c>
      <c r="R132" s="6">
        <v>13</v>
      </c>
      <c r="S132" s="6">
        <v>13</v>
      </c>
      <c r="T132" s="6">
        <v>13</v>
      </c>
      <c r="U132" s="6">
        <v>13</v>
      </c>
      <c r="V132" s="3">
        <f t="shared" si="26"/>
        <v>13</v>
      </c>
      <c r="W132" s="6">
        <v>16</v>
      </c>
      <c r="X132" s="6">
        <v>16</v>
      </c>
      <c r="Y132" s="6">
        <v>15</v>
      </c>
      <c r="Z132" s="6">
        <v>15</v>
      </c>
      <c r="AA132" s="6">
        <v>16</v>
      </c>
      <c r="AB132" s="3">
        <f t="shared" si="27"/>
        <v>15.6</v>
      </c>
      <c r="AC132" s="6">
        <v>13.8</v>
      </c>
      <c r="AD132" s="6">
        <v>13.8</v>
      </c>
      <c r="AE132" s="6">
        <v>13.8</v>
      </c>
      <c r="AF132" s="6">
        <v>13.8</v>
      </c>
      <c r="AG132" s="6">
        <v>13.8</v>
      </c>
      <c r="AH132" s="3">
        <f t="shared" si="28"/>
        <v>13.8</v>
      </c>
      <c r="AI132" s="7">
        <v>61</v>
      </c>
      <c r="AJ132" s="4">
        <f t="shared" si="29"/>
        <v>451.85139999999996</v>
      </c>
      <c r="AK132" s="5"/>
      <c r="AL132" s="4"/>
    </row>
    <row r="133" spans="1:38" ht="14.4" customHeight="1" x14ac:dyDescent="0.3">
      <c r="A133" s="2">
        <v>131</v>
      </c>
      <c r="B133" s="10" t="s">
        <v>33</v>
      </c>
      <c r="C133">
        <v>50</v>
      </c>
      <c r="D133" s="15"/>
      <c r="E133" s="6">
        <v>72.3</v>
      </c>
      <c r="F133" s="6">
        <v>73.099999999999994</v>
      </c>
      <c r="G133" s="6">
        <v>72.8</v>
      </c>
      <c r="H133" s="6">
        <v>73.099999999999994</v>
      </c>
      <c r="I133" s="6">
        <v>73.8</v>
      </c>
      <c r="J133" s="6">
        <f t="shared" si="24"/>
        <v>73.02</v>
      </c>
      <c r="K133" s="6">
        <v>8</v>
      </c>
      <c r="L133" s="6">
        <v>9</v>
      </c>
      <c r="M133" s="6">
        <v>9</v>
      </c>
      <c r="N133" s="6">
        <v>7</v>
      </c>
      <c r="O133" s="6">
        <v>8</v>
      </c>
      <c r="P133" s="6">
        <f t="shared" si="25"/>
        <v>8.1999999999999993</v>
      </c>
      <c r="Q133" s="6">
        <v>13</v>
      </c>
      <c r="R133" s="6">
        <v>14</v>
      </c>
      <c r="S133" s="6">
        <v>14</v>
      </c>
      <c r="T133" s="6">
        <v>14</v>
      </c>
      <c r="U133" s="6">
        <v>14</v>
      </c>
      <c r="V133" s="3">
        <f t="shared" si="26"/>
        <v>13.8</v>
      </c>
      <c r="W133" s="6">
        <v>14</v>
      </c>
      <c r="X133" s="6">
        <v>15</v>
      </c>
      <c r="Y133" s="6">
        <v>15</v>
      </c>
      <c r="Z133" s="6">
        <v>14</v>
      </c>
      <c r="AA133" s="6">
        <v>15</v>
      </c>
      <c r="AB133" s="3">
        <f t="shared" si="27"/>
        <v>14.6</v>
      </c>
      <c r="AC133" s="6">
        <v>13</v>
      </c>
      <c r="AD133" s="6">
        <v>13.6</v>
      </c>
      <c r="AE133" s="6">
        <v>12.7</v>
      </c>
      <c r="AF133" s="6">
        <v>10.5</v>
      </c>
      <c r="AG133" s="6">
        <v>12.6</v>
      </c>
      <c r="AH133" s="3">
        <f t="shared" si="28"/>
        <v>12.48</v>
      </c>
      <c r="AI133" s="7">
        <v>77.13</v>
      </c>
      <c r="AJ133" s="4">
        <f t="shared" si="29"/>
        <v>571.332762</v>
      </c>
      <c r="AK133" s="5"/>
      <c r="AL133" s="4"/>
    </row>
    <row r="134" spans="1:38" ht="14.4" customHeight="1" x14ac:dyDescent="0.3">
      <c r="A134" s="2">
        <v>132</v>
      </c>
      <c r="B134" s="10" t="s">
        <v>34</v>
      </c>
      <c r="C134">
        <v>39</v>
      </c>
      <c r="D134" s="15"/>
      <c r="E134" s="6">
        <v>64.8</v>
      </c>
      <c r="F134" s="6">
        <v>63.8</v>
      </c>
      <c r="G134" s="6">
        <v>61.4</v>
      </c>
      <c r="H134" s="6">
        <v>62.7</v>
      </c>
      <c r="I134" s="6">
        <v>61</v>
      </c>
      <c r="J134" s="6">
        <f t="shared" si="24"/>
        <v>62.739999999999995</v>
      </c>
      <c r="K134" s="6">
        <v>8</v>
      </c>
      <c r="L134" s="6">
        <v>8</v>
      </c>
      <c r="M134" s="6">
        <v>9</v>
      </c>
      <c r="N134" s="6">
        <v>8</v>
      </c>
      <c r="O134" s="6">
        <v>9</v>
      </c>
      <c r="P134" s="6">
        <f t="shared" si="25"/>
        <v>8.4</v>
      </c>
      <c r="Q134" s="6">
        <v>13</v>
      </c>
      <c r="R134" s="6">
        <v>12</v>
      </c>
      <c r="S134" s="6">
        <v>12</v>
      </c>
      <c r="T134" s="6">
        <v>13</v>
      </c>
      <c r="U134" s="6">
        <v>12</v>
      </c>
      <c r="V134" s="3">
        <f t="shared" si="26"/>
        <v>12.4</v>
      </c>
      <c r="W134" s="6">
        <v>13</v>
      </c>
      <c r="X134" s="6">
        <v>12</v>
      </c>
      <c r="Y134" s="6">
        <v>13</v>
      </c>
      <c r="Z134" s="6">
        <v>13</v>
      </c>
      <c r="AA134" s="6">
        <v>13</v>
      </c>
      <c r="AB134" s="3">
        <f t="shared" si="27"/>
        <v>12.8</v>
      </c>
      <c r="AC134" s="6">
        <v>12.7</v>
      </c>
      <c r="AD134" s="6">
        <v>12.6</v>
      </c>
      <c r="AE134" s="6">
        <v>12.8</v>
      </c>
      <c r="AF134" s="6">
        <v>12.8</v>
      </c>
      <c r="AG134" s="6">
        <v>12.7</v>
      </c>
      <c r="AH134" s="3">
        <f t="shared" si="28"/>
        <v>12.719999999999999</v>
      </c>
      <c r="AI134" s="7">
        <v>75.88</v>
      </c>
      <c r="AJ134" s="4">
        <f t="shared" si="29"/>
        <v>562.07351199999994</v>
      </c>
      <c r="AK134" s="5"/>
      <c r="AL134" s="4"/>
    </row>
    <row r="136" spans="1:38" ht="14.4" customHeight="1" x14ac:dyDescent="0.3">
      <c r="A136" s="2"/>
      <c r="B136" s="2"/>
      <c r="C136" s="2"/>
      <c r="D136" s="14"/>
      <c r="E136" s="2"/>
      <c r="F136" s="2"/>
      <c r="G136" s="2"/>
      <c r="H136" s="2"/>
      <c r="I136" s="2"/>
      <c r="J136" s="11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11"/>
      <c r="AK136" s="2"/>
      <c r="AL136" s="9"/>
    </row>
    <row r="137" spans="1:38" ht="14.4" customHeight="1" x14ac:dyDescent="0.3">
      <c r="A137" s="2"/>
      <c r="B137" s="2"/>
      <c r="C137" s="2"/>
      <c r="D137" s="14"/>
      <c r="E137" s="2"/>
      <c r="F137" s="2"/>
      <c r="G137" s="2"/>
      <c r="H137" s="2"/>
      <c r="I137" s="2"/>
      <c r="J137" s="11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11"/>
      <c r="AK137" s="2"/>
      <c r="AL137" s="2"/>
    </row>
    <row r="138" spans="1:38" ht="14.4" customHeight="1" x14ac:dyDescent="0.3">
      <c r="A138" s="2"/>
      <c r="B138" s="2"/>
      <c r="C138" s="2"/>
      <c r="D138" s="14"/>
      <c r="E138" s="2"/>
      <c r="F138" s="2"/>
      <c r="G138" s="2"/>
      <c r="H138" s="2"/>
      <c r="I138" s="2"/>
      <c r="J138" s="11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11"/>
      <c r="AK138" s="2"/>
      <c r="AL138" s="2"/>
    </row>
    <row r="139" spans="1:38" ht="14.4" customHeight="1" x14ac:dyDescent="0.3">
      <c r="AJ139" s="11"/>
    </row>
    <row r="140" spans="1:38" ht="14.4" customHeight="1" x14ac:dyDescent="0.3">
      <c r="AJ140" s="11"/>
    </row>
    <row r="141" spans="1:38" ht="14.4" customHeight="1" x14ac:dyDescent="0.3">
      <c r="AJ141" s="11"/>
    </row>
    <row r="142" spans="1:38" ht="14.4" customHeight="1" x14ac:dyDescent="0.3">
      <c r="AJ142" s="11"/>
    </row>
    <row r="143" spans="1:38" ht="14.4" customHeight="1" x14ac:dyDescent="0.3">
      <c r="AJ143" s="11"/>
    </row>
    <row r="144" spans="1:38" ht="14.4" customHeight="1" x14ac:dyDescent="0.3">
      <c r="AJ144" s="11"/>
    </row>
    <row r="145" spans="36:36" ht="14.4" customHeight="1" x14ac:dyDescent="0.3">
      <c r="AJ145" s="11"/>
    </row>
    <row r="146" spans="36:36" ht="14.4" customHeight="1" x14ac:dyDescent="0.3">
      <c r="AJ146" s="11"/>
    </row>
    <row r="147" spans="36:36" ht="14.4" customHeight="1" x14ac:dyDescent="0.3">
      <c r="AJ147" s="11"/>
    </row>
    <row r="148" spans="36:36" ht="14.4" customHeight="1" x14ac:dyDescent="0.3">
      <c r="AJ148" s="11"/>
    </row>
    <row r="149" spans="36:36" ht="14.4" customHeight="1" x14ac:dyDescent="0.3">
      <c r="AJ149" s="11"/>
    </row>
    <row r="150" spans="36:36" ht="14.4" customHeight="1" x14ac:dyDescent="0.3">
      <c r="AJ150" s="11"/>
    </row>
    <row r="151" spans="36:36" ht="14.4" customHeight="1" x14ac:dyDescent="0.3">
      <c r="AJ151" s="11"/>
    </row>
    <row r="152" spans="36:36" ht="14.4" customHeight="1" x14ac:dyDescent="0.3">
      <c r="AJ152" s="11"/>
    </row>
    <row r="153" spans="36:36" ht="14.4" customHeight="1" x14ac:dyDescent="0.3">
      <c r="AJ153" s="11"/>
    </row>
    <row r="154" spans="36:36" ht="14.4" customHeight="1" x14ac:dyDescent="0.3">
      <c r="AJ154" s="11"/>
    </row>
    <row r="155" spans="36:36" ht="14.4" customHeight="1" x14ac:dyDescent="0.3">
      <c r="AJ155" s="11"/>
    </row>
    <row r="156" spans="36:36" ht="14.4" customHeight="1" x14ac:dyDescent="0.3">
      <c r="AJ156" s="11"/>
    </row>
    <row r="157" spans="36:36" ht="14.4" customHeight="1" x14ac:dyDescent="0.3">
      <c r="AJ157" s="11"/>
    </row>
    <row r="158" spans="36:36" ht="14.4" customHeight="1" x14ac:dyDescent="0.3">
      <c r="AJ158" s="11"/>
    </row>
    <row r="159" spans="36:36" ht="14.4" customHeight="1" x14ac:dyDescent="0.3">
      <c r="AJ159" s="11"/>
    </row>
    <row r="160" spans="36:36" ht="14.4" customHeight="1" x14ac:dyDescent="0.3">
      <c r="AJ160" s="11"/>
    </row>
    <row r="161" spans="36:36" ht="14.4" customHeight="1" x14ac:dyDescent="0.3">
      <c r="AJ161" s="11"/>
    </row>
    <row r="162" spans="36:36" ht="14.4" customHeight="1" x14ac:dyDescent="0.3">
      <c r="AJ162" s="11"/>
    </row>
    <row r="163" spans="36:36" ht="14.4" customHeight="1" x14ac:dyDescent="0.3">
      <c r="AJ163" s="11"/>
    </row>
    <row r="164" spans="36:36" ht="14.4" customHeight="1" x14ac:dyDescent="0.3">
      <c r="AJ164" s="11"/>
    </row>
    <row r="165" spans="36:36" ht="14.4" customHeight="1" x14ac:dyDescent="0.3">
      <c r="AJ165" s="11"/>
    </row>
    <row r="166" spans="36:36" ht="14.4" customHeight="1" x14ac:dyDescent="0.3">
      <c r="AJ166" s="11"/>
    </row>
    <row r="167" spans="36:36" ht="14.4" customHeight="1" x14ac:dyDescent="0.3">
      <c r="AJ167" s="11"/>
    </row>
    <row r="168" spans="36:36" ht="14.4" customHeight="1" x14ac:dyDescent="0.3">
      <c r="AJ168" s="11"/>
    </row>
    <row r="169" spans="36:36" ht="14.4" customHeight="1" x14ac:dyDescent="0.3">
      <c r="AJ169" s="11"/>
    </row>
  </sheetData>
  <mergeCells count="5">
    <mergeCell ref="K1:P1"/>
    <mergeCell ref="Q1:U1"/>
    <mergeCell ref="AC1:AG1"/>
    <mergeCell ref="E1:I1"/>
    <mergeCell ref="W1:AA1"/>
  </mergeCells>
  <hyperlinks>
    <hyperlink ref="A1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A9" sqref="A9:XFD9"/>
    </sheetView>
  </sheetViews>
  <sheetFormatPr defaultRowHeight="13.2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135"/>
  <sheetViews>
    <sheetView workbookViewId="0"/>
  </sheetViews>
  <sheetFormatPr defaultColWidth="12.6640625" defaultRowHeight="15.75" customHeight="1" x14ac:dyDescent="0.25"/>
  <sheetData>
    <row r="1" spans="1:17" x14ac:dyDescent="0.25">
      <c r="A1" s="13" t="s">
        <v>1</v>
      </c>
      <c r="B1" s="21" t="s">
        <v>115</v>
      </c>
      <c r="C1" s="20"/>
      <c r="D1" s="20"/>
      <c r="E1" s="20"/>
      <c r="F1" s="20"/>
      <c r="G1" s="20"/>
      <c r="H1" s="20"/>
      <c r="I1" s="20"/>
      <c r="J1" s="20"/>
      <c r="K1" s="20"/>
      <c r="L1" s="13" t="s">
        <v>116</v>
      </c>
      <c r="M1" s="13" t="s">
        <v>117</v>
      </c>
      <c r="N1" s="13" t="s">
        <v>118</v>
      </c>
      <c r="O1" s="13" t="s">
        <v>119</v>
      </c>
      <c r="Q1" s="13" t="s">
        <v>120</v>
      </c>
    </row>
    <row r="2" spans="1:17" x14ac:dyDescent="0.25">
      <c r="B2" s="13" t="s">
        <v>121</v>
      </c>
      <c r="C2" s="13" t="s">
        <v>122</v>
      </c>
      <c r="D2" s="13" t="s">
        <v>121</v>
      </c>
      <c r="E2" s="13" t="s">
        <v>122</v>
      </c>
      <c r="F2" s="13" t="s">
        <v>121</v>
      </c>
      <c r="G2" s="13" t="s">
        <v>122</v>
      </c>
      <c r="H2" s="13" t="s">
        <v>121</v>
      </c>
      <c r="I2" s="13" t="s">
        <v>122</v>
      </c>
      <c r="J2" s="13" t="s">
        <v>121</v>
      </c>
      <c r="K2" s="13" t="s">
        <v>122</v>
      </c>
      <c r="M2" s="13" t="s">
        <v>123</v>
      </c>
      <c r="O2" s="13" t="s">
        <v>124</v>
      </c>
    </row>
    <row r="3" spans="1:17" x14ac:dyDescent="0.25">
      <c r="A3" s="13"/>
      <c r="B3" s="13">
        <v>1</v>
      </c>
      <c r="D3" s="13">
        <v>2</v>
      </c>
      <c r="F3" s="13">
        <v>3</v>
      </c>
      <c r="H3" s="13">
        <v>4</v>
      </c>
      <c r="J3" s="13">
        <v>5</v>
      </c>
    </row>
    <row r="4" spans="1:17" x14ac:dyDescent="0.25">
      <c r="A4" s="13">
        <v>1</v>
      </c>
      <c r="Q4" s="13">
        <v>11</v>
      </c>
    </row>
    <row r="5" spans="1:17" x14ac:dyDescent="0.25">
      <c r="A5" s="13">
        <v>2</v>
      </c>
      <c r="Q5" s="13">
        <v>8</v>
      </c>
    </row>
    <row r="6" spans="1:17" x14ac:dyDescent="0.25">
      <c r="A6" s="13">
        <v>3</v>
      </c>
      <c r="Q6" s="13">
        <v>9</v>
      </c>
    </row>
    <row r="7" spans="1:17" x14ac:dyDescent="0.25">
      <c r="A7" s="13">
        <v>4</v>
      </c>
      <c r="Q7" s="13">
        <v>11</v>
      </c>
    </row>
    <row r="8" spans="1:17" x14ac:dyDescent="0.25">
      <c r="A8" s="13">
        <v>5</v>
      </c>
      <c r="Q8" s="13">
        <v>9</v>
      </c>
    </row>
    <row r="9" spans="1:17" x14ac:dyDescent="0.25">
      <c r="A9" s="13">
        <v>6</v>
      </c>
      <c r="Q9" s="13">
        <v>12</v>
      </c>
    </row>
    <row r="10" spans="1:17" x14ac:dyDescent="0.25">
      <c r="A10" s="13">
        <v>7</v>
      </c>
      <c r="Q10" s="13">
        <v>11</v>
      </c>
    </row>
    <row r="11" spans="1:17" x14ac:dyDescent="0.25">
      <c r="A11" s="13">
        <v>8</v>
      </c>
      <c r="Q11" s="13">
        <v>9</v>
      </c>
    </row>
    <row r="12" spans="1:17" x14ac:dyDescent="0.25">
      <c r="A12" s="13">
        <v>9</v>
      </c>
      <c r="Q12" s="13">
        <v>10</v>
      </c>
    </row>
    <row r="13" spans="1:17" x14ac:dyDescent="0.25">
      <c r="A13" s="13">
        <v>10</v>
      </c>
      <c r="Q13" s="13">
        <v>8</v>
      </c>
    </row>
    <row r="14" spans="1:17" x14ac:dyDescent="0.25">
      <c r="A14" s="13">
        <v>11</v>
      </c>
      <c r="Q14" s="13">
        <v>11</v>
      </c>
    </row>
    <row r="15" spans="1:17" x14ac:dyDescent="0.25">
      <c r="A15" s="13">
        <v>12</v>
      </c>
      <c r="Q15" s="13">
        <v>8</v>
      </c>
    </row>
    <row r="16" spans="1:17" x14ac:dyDescent="0.25">
      <c r="A16" s="13">
        <v>13</v>
      </c>
      <c r="Q16" s="13">
        <v>8</v>
      </c>
    </row>
    <row r="17" spans="1:17" x14ac:dyDescent="0.25">
      <c r="A17" s="13">
        <v>14</v>
      </c>
      <c r="Q17" s="13">
        <v>10</v>
      </c>
    </row>
    <row r="18" spans="1:17" x14ac:dyDescent="0.25">
      <c r="A18" s="13">
        <v>15</v>
      </c>
      <c r="Q18" s="13">
        <v>11</v>
      </c>
    </row>
    <row r="19" spans="1:17" x14ac:dyDescent="0.25">
      <c r="A19" s="13">
        <v>16</v>
      </c>
      <c r="Q19" s="13">
        <v>9</v>
      </c>
    </row>
    <row r="20" spans="1:17" x14ac:dyDescent="0.25">
      <c r="A20" s="13">
        <v>17</v>
      </c>
      <c r="Q20" s="13">
        <v>10</v>
      </c>
    </row>
    <row r="21" spans="1:17" x14ac:dyDescent="0.25">
      <c r="A21" s="13">
        <v>18</v>
      </c>
      <c r="Q21" s="13">
        <v>8</v>
      </c>
    </row>
    <row r="22" spans="1:17" x14ac:dyDescent="0.25">
      <c r="A22" s="13">
        <v>19</v>
      </c>
      <c r="Q22" s="13">
        <v>8</v>
      </c>
    </row>
    <row r="23" spans="1:17" x14ac:dyDescent="0.25">
      <c r="A23" s="13">
        <v>20</v>
      </c>
      <c r="Q23" s="13">
        <v>9</v>
      </c>
    </row>
    <row r="24" spans="1:17" x14ac:dyDescent="0.25">
      <c r="A24" s="13">
        <v>21</v>
      </c>
      <c r="Q24" s="13">
        <v>9</v>
      </c>
    </row>
    <row r="25" spans="1:17" x14ac:dyDescent="0.25">
      <c r="A25" s="13">
        <v>22</v>
      </c>
      <c r="Q25" s="13">
        <v>11</v>
      </c>
    </row>
    <row r="26" spans="1:17" x14ac:dyDescent="0.25">
      <c r="A26" s="13">
        <v>23</v>
      </c>
      <c r="Q26" s="13">
        <v>24</v>
      </c>
    </row>
    <row r="27" spans="1:17" x14ac:dyDescent="0.25">
      <c r="A27" s="13">
        <v>24</v>
      </c>
      <c r="Q27" s="13">
        <v>10</v>
      </c>
    </row>
    <row r="28" spans="1:17" x14ac:dyDescent="0.25">
      <c r="A28" s="13">
        <v>25</v>
      </c>
      <c r="Q28" s="13">
        <v>8</v>
      </c>
    </row>
    <row r="29" spans="1:17" x14ac:dyDescent="0.25">
      <c r="A29" s="13">
        <v>26</v>
      </c>
      <c r="Q29" s="13">
        <v>9</v>
      </c>
    </row>
    <row r="30" spans="1:17" x14ac:dyDescent="0.25">
      <c r="A30" s="13">
        <v>27</v>
      </c>
      <c r="Q30" s="13">
        <v>9</v>
      </c>
    </row>
    <row r="31" spans="1:17" x14ac:dyDescent="0.25">
      <c r="A31" s="13">
        <v>28</v>
      </c>
      <c r="Q31" s="13">
        <v>9</v>
      </c>
    </row>
    <row r="32" spans="1:17" x14ac:dyDescent="0.25">
      <c r="A32" s="13">
        <v>29</v>
      </c>
      <c r="Q32" s="13">
        <v>10</v>
      </c>
    </row>
    <row r="33" spans="1:17" x14ac:dyDescent="0.25">
      <c r="A33" s="13">
        <v>30</v>
      </c>
      <c r="Q33" s="13">
        <v>10</v>
      </c>
    </row>
    <row r="34" spans="1:17" x14ac:dyDescent="0.25">
      <c r="A34" s="13">
        <v>31</v>
      </c>
      <c r="Q34" s="13">
        <v>8</v>
      </c>
    </row>
    <row r="35" spans="1:17" x14ac:dyDescent="0.25">
      <c r="A35" s="13">
        <v>32</v>
      </c>
      <c r="Q35" s="13">
        <v>8</v>
      </c>
    </row>
    <row r="36" spans="1:17" x14ac:dyDescent="0.25">
      <c r="A36" s="13">
        <v>33</v>
      </c>
      <c r="Q36" s="13">
        <v>11</v>
      </c>
    </row>
    <row r="37" spans="1:17" x14ac:dyDescent="0.25">
      <c r="A37" s="13">
        <v>34</v>
      </c>
      <c r="Q37" s="13">
        <v>12</v>
      </c>
    </row>
    <row r="38" spans="1:17" x14ac:dyDescent="0.25">
      <c r="A38" s="13">
        <v>35</v>
      </c>
      <c r="Q38" s="13">
        <v>9</v>
      </c>
    </row>
    <row r="39" spans="1:17" x14ac:dyDescent="0.25">
      <c r="A39" s="13">
        <v>36</v>
      </c>
      <c r="Q39" s="13">
        <v>9</v>
      </c>
    </row>
    <row r="40" spans="1:17" x14ac:dyDescent="0.25">
      <c r="A40" s="13">
        <v>37</v>
      </c>
      <c r="Q40" s="13">
        <v>9</v>
      </c>
    </row>
    <row r="41" spans="1:17" x14ac:dyDescent="0.25">
      <c r="A41" s="13">
        <v>38</v>
      </c>
      <c r="Q41" s="13">
        <v>10</v>
      </c>
    </row>
    <row r="42" spans="1:17" x14ac:dyDescent="0.25">
      <c r="A42" s="13">
        <v>39</v>
      </c>
      <c r="Q42" s="13">
        <v>10</v>
      </c>
    </row>
    <row r="43" spans="1:17" x14ac:dyDescent="0.25">
      <c r="A43" s="13">
        <v>40</v>
      </c>
      <c r="Q43" s="13">
        <v>10</v>
      </c>
    </row>
    <row r="44" spans="1:17" x14ac:dyDescent="0.25">
      <c r="A44" s="13">
        <v>41</v>
      </c>
      <c r="Q44" s="13">
        <v>22</v>
      </c>
    </row>
    <row r="45" spans="1:17" x14ac:dyDescent="0.25">
      <c r="A45" s="13">
        <v>42</v>
      </c>
      <c r="Q45" s="13">
        <v>10</v>
      </c>
    </row>
    <row r="46" spans="1:17" x14ac:dyDescent="0.25">
      <c r="A46" s="13">
        <v>43</v>
      </c>
      <c r="Q46" s="13">
        <v>9</v>
      </c>
    </row>
    <row r="47" spans="1:17" x14ac:dyDescent="0.25">
      <c r="A47" s="13">
        <v>44</v>
      </c>
      <c r="Q47" s="13">
        <v>9</v>
      </c>
    </row>
    <row r="48" spans="1:17" x14ac:dyDescent="0.25">
      <c r="A48" s="13">
        <v>45</v>
      </c>
      <c r="Q48" s="13">
        <v>9</v>
      </c>
    </row>
    <row r="49" spans="1:17" x14ac:dyDescent="0.25">
      <c r="A49" s="13">
        <v>46</v>
      </c>
      <c r="Q49" s="13">
        <v>8</v>
      </c>
    </row>
    <row r="50" spans="1:17" x14ac:dyDescent="0.25">
      <c r="A50" s="13">
        <v>47</v>
      </c>
      <c r="Q50" s="13">
        <v>10</v>
      </c>
    </row>
    <row r="51" spans="1:17" x14ac:dyDescent="0.25">
      <c r="A51" s="13">
        <v>48</v>
      </c>
      <c r="Q51" s="13">
        <v>8</v>
      </c>
    </row>
    <row r="52" spans="1:17" x14ac:dyDescent="0.25">
      <c r="A52" s="13">
        <v>49</v>
      </c>
      <c r="Q52" s="13">
        <v>10.08</v>
      </c>
    </row>
    <row r="53" spans="1:17" x14ac:dyDescent="0.25">
      <c r="A53" s="13">
        <v>50</v>
      </c>
      <c r="Q53" s="13">
        <v>9.4</v>
      </c>
    </row>
    <row r="54" spans="1:17" x14ac:dyDescent="0.25">
      <c r="A54" s="13">
        <v>51</v>
      </c>
      <c r="Q54" s="13">
        <v>8.32</v>
      </c>
    </row>
    <row r="55" spans="1:17" x14ac:dyDescent="0.25">
      <c r="A55" s="13">
        <v>52</v>
      </c>
      <c r="Q55" s="13">
        <v>22.1</v>
      </c>
    </row>
    <row r="56" spans="1:17" x14ac:dyDescent="0.25">
      <c r="A56" s="13">
        <v>53</v>
      </c>
      <c r="Q56" s="13">
        <v>9.7200000000000006</v>
      </c>
    </row>
    <row r="57" spans="1:17" x14ac:dyDescent="0.25">
      <c r="A57" s="13">
        <v>54</v>
      </c>
      <c r="Q57" s="13">
        <v>10.94</v>
      </c>
    </row>
    <row r="58" spans="1:17" x14ac:dyDescent="0.25">
      <c r="A58" s="13">
        <v>55</v>
      </c>
      <c r="Q58" s="13">
        <v>12</v>
      </c>
    </row>
    <row r="59" spans="1:17" x14ac:dyDescent="0.25">
      <c r="A59" s="13">
        <v>56</v>
      </c>
      <c r="Q59" s="13">
        <v>11.32</v>
      </c>
    </row>
    <row r="60" spans="1:17" x14ac:dyDescent="0.25">
      <c r="A60" s="13">
        <v>57</v>
      </c>
      <c r="Q60" s="13">
        <v>7.61</v>
      </c>
    </row>
    <row r="61" spans="1:17" x14ac:dyDescent="0.25">
      <c r="A61" s="13">
        <v>58</v>
      </c>
      <c r="Q61" s="13">
        <v>10.199999999999999</v>
      </c>
    </row>
    <row r="62" spans="1:17" x14ac:dyDescent="0.25">
      <c r="A62" s="13">
        <v>59</v>
      </c>
      <c r="Q62" s="13">
        <v>12.2</v>
      </c>
    </row>
    <row r="63" spans="1:17" x14ac:dyDescent="0.25">
      <c r="A63" s="13">
        <v>60</v>
      </c>
      <c r="Q63" s="13">
        <v>13.2</v>
      </c>
    </row>
    <row r="64" spans="1:17" x14ac:dyDescent="0.25">
      <c r="A64" s="13">
        <v>61</v>
      </c>
    </row>
    <row r="65" spans="1:17" x14ac:dyDescent="0.25">
      <c r="A65" s="13">
        <v>62</v>
      </c>
      <c r="Q65" s="13">
        <v>10.1</v>
      </c>
    </row>
    <row r="66" spans="1:17" x14ac:dyDescent="0.25">
      <c r="A66" s="13">
        <v>63</v>
      </c>
      <c r="Q66" s="13">
        <v>8.42</v>
      </c>
    </row>
    <row r="67" spans="1:17" x14ac:dyDescent="0.25">
      <c r="A67" s="13">
        <v>64</v>
      </c>
      <c r="Q67" s="13">
        <v>8.9700000000000006</v>
      </c>
    </row>
    <row r="68" spans="1:17" x14ac:dyDescent="0.25">
      <c r="A68" s="13">
        <v>65</v>
      </c>
      <c r="Q68" s="13">
        <v>10.28</v>
      </c>
    </row>
    <row r="69" spans="1:17" x14ac:dyDescent="0.25">
      <c r="A69" s="13">
        <v>66</v>
      </c>
      <c r="Q69" s="13">
        <v>10.76</v>
      </c>
    </row>
    <row r="70" spans="1:17" x14ac:dyDescent="0.25">
      <c r="A70" s="13">
        <v>67</v>
      </c>
      <c r="Q70" s="13">
        <v>9.1199999999999992</v>
      </c>
    </row>
    <row r="71" spans="1:17" x14ac:dyDescent="0.25">
      <c r="A71" s="13">
        <v>68</v>
      </c>
      <c r="Q71" s="13">
        <v>10.54</v>
      </c>
    </row>
    <row r="72" spans="1:17" x14ac:dyDescent="0.25">
      <c r="A72" s="13">
        <v>69</v>
      </c>
      <c r="Q72" s="13">
        <v>8.1</v>
      </c>
    </row>
    <row r="73" spans="1:17" x14ac:dyDescent="0.25">
      <c r="A73" s="13">
        <v>70</v>
      </c>
      <c r="Q73" s="13">
        <v>8.5</v>
      </c>
    </row>
    <row r="74" spans="1:17" x14ac:dyDescent="0.25">
      <c r="A74" s="13">
        <v>71</v>
      </c>
      <c r="Q74" s="13">
        <v>7.6</v>
      </c>
    </row>
    <row r="75" spans="1:17" x14ac:dyDescent="0.25">
      <c r="A75" s="13">
        <v>72</v>
      </c>
      <c r="Q75" s="13">
        <v>10.15</v>
      </c>
    </row>
    <row r="76" spans="1:17" x14ac:dyDescent="0.25">
      <c r="A76" s="13">
        <v>73</v>
      </c>
      <c r="Q76" s="13">
        <v>9.0500000000000007</v>
      </c>
    </row>
    <row r="77" spans="1:17" x14ac:dyDescent="0.25">
      <c r="A77" s="13">
        <v>74</v>
      </c>
      <c r="Q77" s="13">
        <v>11.05</v>
      </c>
    </row>
    <row r="78" spans="1:17" x14ac:dyDescent="0.25">
      <c r="A78" s="13">
        <v>75</v>
      </c>
      <c r="Q78" s="13">
        <v>8.43</v>
      </c>
    </row>
    <row r="79" spans="1:17" x14ac:dyDescent="0.25">
      <c r="A79" s="13">
        <v>76</v>
      </c>
      <c r="Q79" s="13">
        <v>10.72</v>
      </c>
    </row>
    <row r="80" spans="1:17" x14ac:dyDescent="0.25">
      <c r="A80" s="13">
        <v>77</v>
      </c>
      <c r="Q80" s="13">
        <v>9.35</v>
      </c>
    </row>
    <row r="81" spans="1:17" x14ac:dyDescent="0.25">
      <c r="A81" s="13">
        <v>78</v>
      </c>
      <c r="Q81" s="13">
        <v>8.09</v>
      </c>
    </row>
    <row r="82" spans="1:17" x14ac:dyDescent="0.25">
      <c r="A82" s="13">
        <v>79</v>
      </c>
      <c r="Q82" s="13">
        <v>8.2100000000000009</v>
      </c>
    </row>
    <row r="83" spans="1:17" x14ac:dyDescent="0.25">
      <c r="A83" s="13">
        <v>80</v>
      </c>
      <c r="Q83" s="13">
        <v>8.9</v>
      </c>
    </row>
    <row r="84" spans="1:17" x14ac:dyDescent="0.25">
      <c r="A84" s="13">
        <v>81</v>
      </c>
      <c r="Q84" s="13">
        <v>9.1999999999999993</v>
      </c>
    </row>
    <row r="85" spans="1:17" x14ac:dyDescent="0.25">
      <c r="A85" s="13">
        <v>82</v>
      </c>
    </row>
    <row r="86" spans="1:17" x14ac:dyDescent="0.25">
      <c r="A86" s="13">
        <v>83</v>
      </c>
    </row>
    <row r="87" spans="1:17" x14ac:dyDescent="0.25">
      <c r="A87" s="13">
        <v>84</v>
      </c>
    </row>
    <row r="88" spans="1:17" x14ac:dyDescent="0.25">
      <c r="A88" s="13">
        <v>85</v>
      </c>
    </row>
    <row r="89" spans="1:17" x14ac:dyDescent="0.25">
      <c r="A89" s="13">
        <v>86</v>
      </c>
    </row>
    <row r="90" spans="1:17" x14ac:dyDescent="0.25">
      <c r="A90" s="13">
        <v>87</v>
      </c>
    </row>
    <row r="91" spans="1:17" x14ac:dyDescent="0.25">
      <c r="A91" s="13">
        <v>88</v>
      </c>
    </row>
    <row r="92" spans="1:17" x14ac:dyDescent="0.25">
      <c r="A92" s="13">
        <v>89</v>
      </c>
    </row>
    <row r="93" spans="1:17" x14ac:dyDescent="0.25">
      <c r="A93" s="13">
        <v>90</v>
      </c>
    </row>
    <row r="94" spans="1:17" x14ac:dyDescent="0.25">
      <c r="A94" s="13">
        <v>91</v>
      </c>
    </row>
    <row r="95" spans="1:17" x14ac:dyDescent="0.25">
      <c r="A95" s="13">
        <v>92</v>
      </c>
    </row>
    <row r="96" spans="1:17" x14ac:dyDescent="0.25">
      <c r="A96" s="13">
        <v>93</v>
      </c>
    </row>
    <row r="97" spans="1:1" x14ac:dyDescent="0.25">
      <c r="A97" s="13">
        <v>94</v>
      </c>
    </row>
    <row r="98" spans="1:1" x14ac:dyDescent="0.25">
      <c r="A98" s="13">
        <v>95</v>
      </c>
    </row>
    <row r="99" spans="1:1" x14ac:dyDescent="0.25">
      <c r="A99" s="13">
        <v>96</v>
      </c>
    </row>
    <row r="100" spans="1:1" x14ac:dyDescent="0.25">
      <c r="A100" s="13">
        <v>97</v>
      </c>
    </row>
    <row r="101" spans="1:1" x14ac:dyDescent="0.25">
      <c r="A101" s="13">
        <v>98</v>
      </c>
    </row>
    <row r="102" spans="1:1" x14ac:dyDescent="0.25">
      <c r="A102" s="13">
        <v>99</v>
      </c>
    </row>
    <row r="103" spans="1:1" x14ac:dyDescent="0.25">
      <c r="A103" s="13">
        <v>100</v>
      </c>
    </row>
    <row r="104" spans="1:1" x14ac:dyDescent="0.25">
      <c r="A104" s="13">
        <v>101</v>
      </c>
    </row>
    <row r="105" spans="1:1" x14ac:dyDescent="0.25">
      <c r="A105" s="13">
        <v>102</v>
      </c>
    </row>
    <row r="106" spans="1:1" x14ac:dyDescent="0.25">
      <c r="A106" s="13">
        <v>103</v>
      </c>
    </row>
    <row r="107" spans="1:1" x14ac:dyDescent="0.25">
      <c r="A107" s="13">
        <v>104</v>
      </c>
    </row>
    <row r="108" spans="1:1" x14ac:dyDescent="0.25">
      <c r="A108" s="13">
        <v>105</v>
      </c>
    </row>
    <row r="109" spans="1:1" x14ac:dyDescent="0.25">
      <c r="A109" s="13">
        <v>106</v>
      </c>
    </row>
    <row r="110" spans="1:1" x14ac:dyDescent="0.25">
      <c r="A110" s="13">
        <v>107</v>
      </c>
    </row>
    <row r="111" spans="1:1" x14ac:dyDescent="0.25">
      <c r="A111" s="13">
        <v>108</v>
      </c>
    </row>
    <row r="112" spans="1:1" x14ac:dyDescent="0.25">
      <c r="A112" s="13">
        <v>109</v>
      </c>
    </row>
    <row r="113" spans="1:1" x14ac:dyDescent="0.25">
      <c r="A113" s="13">
        <v>110</v>
      </c>
    </row>
    <row r="114" spans="1:1" x14ac:dyDescent="0.25">
      <c r="A114" s="13">
        <v>111</v>
      </c>
    </row>
    <row r="115" spans="1:1" x14ac:dyDescent="0.25">
      <c r="A115" s="13">
        <v>112</v>
      </c>
    </row>
    <row r="116" spans="1:1" x14ac:dyDescent="0.25">
      <c r="A116" s="13">
        <v>113</v>
      </c>
    </row>
    <row r="117" spans="1:1" x14ac:dyDescent="0.25">
      <c r="A117" s="13">
        <v>114</v>
      </c>
    </row>
    <row r="118" spans="1:1" x14ac:dyDescent="0.25">
      <c r="A118" s="13">
        <v>115</v>
      </c>
    </row>
    <row r="119" spans="1:1" x14ac:dyDescent="0.25">
      <c r="A119" s="13">
        <v>116</v>
      </c>
    </row>
    <row r="120" spans="1:1" x14ac:dyDescent="0.25">
      <c r="A120" s="13">
        <v>117</v>
      </c>
    </row>
    <row r="121" spans="1:1" x14ac:dyDescent="0.25">
      <c r="A121" s="13">
        <v>118</v>
      </c>
    </row>
    <row r="122" spans="1:1" x14ac:dyDescent="0.25">
      <c r="A122" s="13">
        <v>119</v>
      </c>
    </row>
    <row r="123" spans="1:1" x14ac:dyDescent="0.25">
      <c r="A123" s="13">
        <v>120</v>
      </c>
    </row>
    <row r="124" spans="1:1" x14ac:dyDescent="0.25">
      <c r="A124" s="13">
        <v>121</v>
      </c>
    </row>
    <row r="125" spans="1:1" x14ac:dyDescent="0.25">
      <c r="A125" s="13">
        <v>122</v>
      </c>
    </row>
    <row r="126" spans="1:1" x14ac:dyDescent="0.25">
      <c r="A126" s="13">
        <v>123</v>
      </c>
    </row>
    <row r="127" spans="1:1" x14ac:dyDescent="0.25">
      <c r="A127" s="13">
        <v>124</v>
      </c>
    </row>
    <row r="128" spans="1:1" x14ac:dyDescent="0.25">
      <c r="A128" s="13">
        <v>125</v>
      </c>
    </row>
    <row r="129" spans="1:1" x14ac:dyDescent="0.25">
      <c r="A129" s="13">
        <v>126</v>
      </c>
    </row>
    <row r="130" spans="1:1" x14ac:dyDescent="0.25">
      <c r="A130" s="13">
        <v>127</v>
      </c>
    </row>
    <row r="131" spans="1:1" x14ac:dyDescent="0.25">
      <c r="A131" s="13">
        <v>128</v>
      </c>
    </row>
    <row r="132" spans="1:1" x14ac:dyDescent="0.25">
      <c r="A132" s="13">
        <v>129</v>
      </c>
    </row>
    <row r="133" spans="1:1" x14ac:dyDescent="0.25">
      <c r="A133" s="13">
        <v>130</v>
      </c>
    </row>
    <row r="134" spans="1:1" x14ac:dyDescent="0.25">
      <c r="A134" s="13">
        <v>131</v>
      </c>
    </row>
    <row r="135" spans="1:1" x14ac:dyDescent="0.25">
      <c r="A135" s="13">
        <v>132</v>
      </c>
    </row>
  </sheetData>
  <mergeCells count="1">
    <mergeCell ref="B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Vaibhav R Patil (C)</cp:lastModifiedBy>
  <dcterms:created xsi:type="dcterms:W3CDTF">2026-03-28T17:15:40Z</dcterms:created>
  <dcterms:modified xsi:type="dcterms:W3CDTF">2026-03-28T17:38:38Z</dcterms:modified>
</cp:coreProperties>
</file>